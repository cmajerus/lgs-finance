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couten\avex\Administratioun\"/>
    </mc:Choice>
  </mc:AlternateContent>
  <xr:revisionPtr revIDLastSave="0" documentId="13_ncr:1_{C643EA8E-10E8-46D9-B506-AE87F9A2A0A8}" xr6:coauthVersionLast="37" xr6:coauthVersionMax="37" xr10:uidLastSave="{00000000-0000-0000-0000-000000000000}"/>
  <bookViews>
    <workbookView xWindow="0" yWindow="0" windowWidth="21600" windowHeight="9510" activeTab="5" xr2:uid="{00000000-000D-0000-FFFF-FFFF00000000}"/>
  </bookViews>
  <sheets>
    <sheet name="Home" sheetId="5" r:id="rId1"/>
    <sheet name="Members" sheetId="4" r:id="rId2"/>
    <sheet name="Finance" sheetId="3" r:id="rId3"/>
    <sheet name="Financial Analysis" sheetId="6" r:id="rId4"/>
    <sheet name="PCG" sheetId="2" r:id="rId5"/>
    <sheet name="HELP" sheetId="7" r:id="rId6"/>
  </sheets>
  <definedNames>
    <definedName name="ColumnTitle1">#REF!</definedName>
    <definedName name="RowTitleRegion1..G4">#REF!</definedName>
  </definedNames>
  <calcPr calcId="179021"/>
  <pivotCaches>
    <pivotCache cacheId="0" r:id="rId7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9" i="5" l="1"/>
  <c r="G19" i="5"/>
  <c r="H17" i="5"/>
  <c r="G17" i="5"/>
  <c r="H13" i="5"/>
  <c r="G13" i="5"/>
  <c r="H15" i="5"/>
  <c r="G15" i="5"/>
  <c r="C19" i="5" l="1"/>
  <c r="B19" i="5"/>
  <c r="H11" i="5"/>
  <c r="G11" i="5"/>
  <c r="C17" i="5"/>
  <c r="B17" i="5"/>
  <c r="D15" i="5"/>
  <c r="C15" i="5"/>
  <c r="B15" i="5"/>
  <c r="B13" i="5"/>
  <c r="C13" i="5"/>
  <c r="B11" i="5" l="1"/>
  <c r="I11" i="5"/>
  <c r="I13" i="5"/>
  <c r="I17" i="5"/>
  <c r="I15" i="5"/>
  <c r="I19" i="5"/>
</calcChain>
</file>

<file path=xl/sharedStrings.xml><?xml version="1.0" encoding="utf-8"?>
<sst xmlns="http://schemas.openxmlformats.org/spreadsheetml/2006/main" count="177" uniqueCount="136">
  <si>
    <t xml:space="preserve">FONCTIONS </t>
  </si>
  <si>
    <t>Electricité</t>
  </si>
  <si>
    <t>Frais de restauration</t>
  </si>
  <si>
    <t>Frais de route</t>
  </si>
  <si>
    <t>Produits d'entretien</t>
  </si>
  <si>
    <t>Produits pharmaceutiques</t>
  </si>
  <si>
    <t>Services de publicité</t>
  </si>
  <si>
    <t>Datum</t>
  </si>
  <si>
    <t>Libellé</t>
  </si>
  <si>
    <t>ID</t>
  </si>
  <si>
    <t>Charges</t>
  </si>
  <si>
    <t>Produits</t>
  </si>
  <si>
    <t>Achat alimentations et boissons (consommation)</t>
  </si>
  <si>
    <t>Matériel de bureau</t>
  </si>
  <si>
    <t>Accessoires et matériels infromatiques</t>
  </si>
  <si>
    <t>Matériel non-food / récréatif (consommable)</t>
  </si>
  <si>
    <t>Matériel divers (acquisition / durable)</t>
  </si>
  <si>
    <t>Matériel technique (construction etc.)</t>
  </si>
  <si>
    <t>Gaz comprimé</t>
  </si>
  <si>
    <t>Carburants</t>
  </si>
  <si>
    <t>Transports collectifs des usagers</t>
  </si>
  <si>
    <t>Location de chalets / hébergement</t>
  </si>
  <si>
    <t>Location véhicule / matériel roulant</t>
  </si>
  <si>
    <t>Location matériel / mobilier</t>
  </si>
  <si>
    <t>Foires et expositions</t>
  </si>
  <si>
    <t>Gadgets et badges (T-shirt, foulard, badge, bic…)</t>
  </si>
  <si>
    <t>Catalogues et imprimés et publications (flyer…)</t>
  </si>
  <si>
    <t>Dons courants, cadeaux</t>
  </si>
  <si>
    <t>Documentation générale (livres, journaux…)</t>
  </si>
  <si>
    <t>Documentation technique (DVD)</t>
  </si>
  <si>
    <t>Honoraires /salaire occasionel</t>
  </si>
  <si>
    <t>Timbres / frais envoi</t>
  </si>
  <si>
    <t>Téléphone / GSM</t>
  </si>
  <si>
    <t>Participation / Contribution financière aux activités</t>
  </si>
  <si>
    <t>Collectes - produits d'activités (recettes gadgets)</t>
  </si>
  <si>
    <t>Dons / collectes sans activités</t>
  </si>
  <si>
    <t>Alimentation et boissons (revente)</t>
  </si>
  <si>
    <t>-</t>
  </si>
  <si>
    <t>Cotisation</t>
  </si>
  <si>
    <t>Recettes</t>
  </si>
  <si>
    <t>Dépenses</t>
  </si>
  <si>
    <t>Konto</t>
  </si>
  <si>
    <t>Paiement</t>
  </si>
  <si>
    <t>Nonumm</t>
  </si>
  <si>
    <t>Virnumm</t>
  </si>
  <si>
    <t>Strooss</t>
  </si>
  <si>
    <t>Uertschaft</t>
  </si>
  <si>
    <t>Telefon</t>
  </si>
  <si>
    <t>Email</t>
  </si>
  <si>
    <t>F</t>
  </si>
  <si>
    <t>LU</t>
  </si>
  <si>
    <t>M</t>
  </si>
  <si>
    <t>N°</t>
  </si>
  <si>
    <t>PLZ</t>
  </si>
  <si>
    <t>Sexe</t>
  </si>
  <si>
    <t>Nat.</t>
  </si>
  <si>
    <t>GSM</t>
  </si>
  <si>
    <t>Cotisatioun</t>
  </si>
  <si>
    <t>Bank</t>
  </si>
  <si>
    <t>Bezuelt</t>
  </si>
  <si>
    <t>v</t>
  </si>
  <si>
    <t>Joer</t>
  </si>
  <si>
    <t>Memberen</t>
  </si>
  <si>
    <t>Total</t>
  </si>
  <si>
    <t>Jongen</t>
  </si>
  <si>
    <t>Meedercher</t>
  </si>
  <si>
    <t>1. Joer</t>
  </si>
  <si>
    <t>Gender</t>
  </si>
  <si>
    <t>2. Joer</t>
  </si>
  <si>
    <t>3. Joer</t>
  </si>
  <si>
    <t>Finanzen</t>
  </si>
  <si>
    <t>Admin</t>
  </si>
  <si>
    <t>Versammlung</t>
  </si>
  <si>
    <t>Sortie/Weekend</t>
  </si>
  <si>
    <t>Camp</t>
  </si>
  <si>
    <t>Balance</t>
  </si>
  <si>
    <t>Jo</t>
  </si>
  <si>
    <t>Nee</t>
  </si>
  <si>
    <t>Total Debit</t>
  </si>
  <si>
    <t>Debit</t>
  </si>
  <si>
    <t>Total Credit</t>
  </si>
  <si>
    <t>Credit</t>
  </si>
  <si>
    <t>Gebuertsdag</t>
  </si>
  <si>
    <t>Alimentation</t>
  </si>
  <si>
    <t>Marshmellows</t>
  </si>
  <si>
    <t>Frais Financiers</t>
  </si>
  <si>
    <t>Frais essentiel</t>
  </si>
  <si>
    <r>
      <rPr>
        <b/>
        <sz val="11"/>
        <color theme="0"/>
        <rFont val="Arial"/>
        <family val="2"/>
        <scheme val="minor"/>
      </rPr>
      <t>Lëtzebuerger Guiden a Scouten</t>
    </r>
    <r>
      <rPr>
        <sz val="11"/>
        <color theme="1" tint="0.24994659260841701"/>
        <rFont val="Arial"/>
        <family val="2"/>
        <scheme val="minor"/>
      </rPr>
      <t xml:space="preserve">         .</t>
    </r>
  </si>
  <si>
    <t>Lëtzebuerger Guiden a Scouten         .</t>
  </si>
  <si>
    <t>D1</t>
  </si>
  <si>
    <t>D2</t>
  </si>
  <si>
    <t>Administratioun</t>
  </si>
  <si>
    <t>Event</t>
  </si>
  <si>
    <t>Code</t>
  </si>
  <si>
    <t>Fonction</t>
  </si>
  <si>
    <t>Retrait de fonds</t>
  </si>
  <si>
    <t>Versement de fonds</t>
  </si>
  <si>
    <t>Codes Analytiques</t>
  </si>
  <si>
    <t>rue de l'église</t>
  </si>
  <si>
    <t>L-1234</t>
  </si>
  <si>
    <t xml:space="preserve">12 34 56 78 </t>
  </si>
  <si>
    <t>621 123 456</t>
  </si>
  <si>
    <t>Hinz</t>
  </si>
  <si>
    <t>Néckel</t>
  </si>
  <si>
    <t>Kunz</t>
  </si>
  <si>
    <t>Sarah</t>
  </si>
  <si>
    <t>DE</t>
  </si>
  <si>
    <t>12 56 78 34</t>
  </si>
  <si>
    <t>691 456 789</t>
  </si>
  <si>
    <t>hinzeneckel@lgs.lu</t>
  </si>
  <si>
    <t>Luxembourg</t>
  </si>
  <si>
    <t>Kolonnebeschrëftungen</t>
  </si>
  <si>
    <t>Zeilebeschrëftungen</t>
  </si>
  <si>
    <t>Gesamtresultat</t>
  </si>
  <si>
    <t>kunzesarah@lgs.lu</t>
  </si>
  <si>
    <t>28/10/2018</t>
  </si>
  <si>
    <t>Cotisation Sarah Kunz</t>
  </si>
  <si>
    <t>R3</t>
  </si>
  <si>
    <t>Op den Home-Onglet sprangen</t>
  </si>
  <si>
    <t>Op den Onglet mat der Memberslëscht sprangen</t>
  </si>
  <si>
    <t>Open den Onglet mat de Finanzen sprangen</t>
  </si>
  <si>
    <t>Allgemeng</t>
  </si>
  <si>
    <t>Members</t>
  </si>
  <si>
    <t>Neie Member androen. E Formulaire geet op wou ee kann d'Donnéen aginn</t>
  </si>
  <si>
    <t>Mëcht de "Sichen"-Dialog op</t>
  </si>
  <si>
    <t>Finance</t>
  </si>
  <si>
    <t>Eng nei Transaktioun enregistréien. E Formulaire geet op wou ee kann d'Donnéen aginn</t>
  </si>
  <si>
    <t>Op "Financial Analysis" sprangen wou d'Finanzen an engem Pivot-Tableau analyséiert kënne ginn</t>
  </si>
  <si>
    <t>ADMIN</t>
  </si>
  <si>
    <t>VERS</t>
  </si>
  <si>
    <t>SOWE</t>
  </si>
  <si>
    <t>CAMP</t>
  </si>
  <si>
    <t>EVENT</t>
  </si>
  <si>
    <t>*Dës Knäppercher hei am HELP hu just eng Demo-Fonctioun</t>
  </si>
  <si>
    <t>Mir kënne kee feelerlose Fonctionnement an och kee Support garantéieren.</t>
  </si>
  <si>
    <r>
      <rPr>
        <b/>
        <sz val="11"/>
        <color theme="1" tint="0.24994659260841701"/>
        <rFont val="Arial"/>
        <family val="2"/>
        <scheme val="minor"/>
      </rPr>
      <t>Disclaimer</t>
    </r>
    <r>
      <rPr>
        <sz val="11"/>
        <color theme="1" tint="0.24994659260841701"/>
        <rFont val="Arial"/>
        <family val="2"/>
        <scheme val="minor"/>
      </rPr>
      <t>: Dëst Dokument gëtt iech vun LGS Finanzekipp zur Verfügung gestallt. Dir därft domadder maache wat der wëllt, ausser fir kommerziell oder net legal Zwecker benotzen.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</si>
</sst>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* #,##0_);_(* \(#,##0\);_(* &quot;-&quot;_);_(@_)"/>
    <numFmt numFmtId="165" formatCode="&quot;Unbalanced&quot;;&quot;&quot;;&quot;&quot;"/>
    <numFmt numFmtId="166" formatCode="_-* #,##0.00\ [$€-140C]_-;\-* #,##0.00\ [$€-140C]_-;_-* &quot;-&quot;??\ [$€-140C]_-;_-@_-"/>
    <numFmt numFmtId="167" formatCode="_-[$€-2]\ * #,##0.00_-;\-[$€-2]\ * #,##0.00_-;_-[$€-2]\ * &quot;-&quot;??_-;_-@_-"/>
    <numFmt numFmtId="168" formatCode="[$€-2]\ #,##0.00;\-[$€-2]\ #,##0.00"/>
  </numFmts>
  <fonts count="20" x14ac:knownFonts="1">
    <font>
      <sz val="11"/>
      <color theme="1" tint="0.24994659260841701"/>
      <name val="Arial"/>
      <family val="2"/>
      <scheme val="minor"/>
    </font>
    <font>
      <sz val="29"/>
      <color theme="4" tint="-0.24994659260841701"/>
      <name val="Georgia"/>
      <family val="2"/>
      <scheme val="major"/>
    </font>
    <font>
      <sz val="11"/>
      <color theme="1" tint="0.24994659260841701"/>
      <name val="Arial"/>
      <family val="2"/>
      <scheme val="minor"/>
    </font>
    <font>
      <sz val="11"/>
      <color theme="1" tint="0.24994659260841701"/>
      <name val="Georgia"/>
      <family val="1"/>
      <scheme val="major"/>
    </font>
    <font>
      <sz val="12"/>
      <color theme="4" tint="-0.499984740745262"/>
      <name val="Georgia"/>
      <family val="1"/>
      <scheme val="major"/>
    </font>
    <font>
      <sz val="11"/>
      <color theme="4" tint="-0.499984740745262"/>
      <name val="Georgia"/>
      <family val="1"/>
      <scheme val="major"/>
    </font>
    <font>
      <sz val="11"/>
      <color indexed="8"/>
      <name val="Calibri"/>
      <family val="2"/>
      <charset val="1"/>
    </font>
    <font>
      <sz val="11"/>
      <name val="Arial"/>
      <family val="2"/>
      <charset val="1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sz val="11"/>
      <color theme="1" tint="0.24994659260841701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1" tint="0.2499465926084170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indexed="8"/>
      <name val="Calibri"/>
      <family val="2"/>
      <charset val="1"/>
    </font>
    <font>
      <b/>
      <sz val="11"/>
      <name val="Arial"/>
      <family val="2"/>
      <scheme val="minor"/>
    </font>
    <font>
      <u/>
      <sz val="11"/>
      <color theme="10"/>
      <name val="Arial"/>
      <family val="2"/>
      <scheme val="minor"/>
    </font>
    <font>
      <i/>
      <sz val="9"/>
      <color theme="1" tint="0.24994659260841701"/>
      <name val="Arial"/>
      <family val="2"/>
      <scheme val="minor"/>
    </font>
    <font>
      <b/>
      <sz val="11"/>
      <color theme="1" tint="0.24994659260841701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dotted">
        <color theme="4" tint="0.39994506668294322"/>
      </left>
      <right style="dotted">
        <color theme="4" tint="0.39994506668294322"/>
      </right>
      <top style="dotted">
        <color theme="4" tint="0.39994506668294322"/>
      </top>
      <bottom style="dotted">
        <color theme="4" tint="0.39994506668294322"/>
      </bottom>
      <diagonal/>
    </border>
    <border>
      <left/>
      <right style="thick">
        <color theme="4" tint="-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5">
    <xf numFmtId="0" fontId="0" fillId="0" borderId="0" applyFill="0" applyBorder="0">
      <alignment horizontal="left" vertical="center"/>
    </xf>
    <xf numFmtId="0" fontId="1" fillId="0" borderId="0" applyFill="0" applyBorder="0" applyAlignment="0" applyProtection="0"/>
    <xf numFmtId="0" fontId="5" fillId="0" borderId="0" applyFill="0" applyProtection="0">
      <alignment horizontal="right"/>
    </xf>
    <xf numFmtId="39" fontId="2" fillId="0" borderId="0" applyFill="0" applyBorder="0" applyProtection="0">
      <alignment horizontal="right" vertical="center" indent="1"/>
    </xf>
    <xf numFmtId="164" fontId="3" fillId="0" borderId="0" applyFill="0" applyBorder="0" applyAlignment="0" applyProtection="0"/>
    <xf numFmtId="0" fontId="3" fillId="0" borderId="1" applyFill="0" applyProtection="0">
      <alignment horizontal="center" vertical="center" wrapText="1"/>
    </xf>
    <xf numFmtId="0" fontId="4" fillId="2" borderId="1" applyNumberFormat="0" applyProtection="0">
      <alignment horizontal="center" vertical="center"/>
    </xf>
    <xf numFmtId="14" fontId="2" fillId="0" borderId="0" applyFont="0" applyFill="0" applyBorder="0">
      <alignment horizontal="left" vertical="center" indent="1"/>
    </xf>
    <xf numFmtId="1" fontId="2" fillId="0" borderId="0" applyFont="0" applyFill="0" applyBorder="0">
      <alignment horizontal="center" vertical="center"/>
    </xf>
    <xf numFmtId="165" fontId="2" fillId="0" borderId="0">
      <alignment horizontal="right" vertical="center"/>
    </xf>
    <xf numFmtId="39" fontId="2" fillId="0" borderId="2" applyFont="0" applyFill="0" applyAlignment="0">
      <alignment horizontal="left" vertical="center" wrapText="1" indent="1"/>
    </xf>
    <xf numFmtId="0" fontId="6" fillId="0" borderId="0"/>
    <xf numFmtId="0" fontId="8" fillId="3" borderId="0">
      <alignment horizontal="left" vertical="center" indent="1"/>
    </xf>
    <xf numFmtId="0" fontId="9" fillId="4" borderId="3">
      <alignment horizontal="center" vertical="center"/>
    </xf>
    <xf numFmtId="0" fontId="17" fillId="0" borderId="0" applyNumberFormat="0" applyFill="0" applyBorder="0" applyAlignment="0" applyProtection="0">
      <alignment horizontal="left" vertical="center"/>
    </xf>
  </cellStyleXfs>
  <cellXfs count="64">
    <xf numFmtId="0" fontId="0" fillId="0" borderId="0" xfId="0">
      <alignment horizontal="left" vertical="center"/>
    </xf>
    <xf numFmtId="0" fontId="0" fillId="0" borderId="0" xfId="0" applyBorder="1">
      <alignment horizontal="left" vertical="center"/>
    </xf>
    <xf numFmtId="0" fontId="7" fillId="0" borderId="0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0" fillId="0" borderId="0" xfId="0" applyBorder="1" applyAlignment="1"/>
    <xf numFmtId="0" fontId="7" fillId="0" borderId="0" xfId="0" applyNumberFormat="1" applyFont="1" applyBorder="1" applyAlignment="1">
      <alignment horizontal="left" vertical="top"/>
    </xf>
    <xf numFmtId="0" fontId="0" fillId="0" borderId="0" xfId="0" applyBorder="1" applyAlignment="1">
      <alignment horizontal="left" vertical="center"/>
    </xf>
    <xf numFmtId="165" fontId="2" fillId="0" borderId="0" xfId="9">
      <alignment horizontal="right" vertical="center"/>
    </xf>
    <xf numFmtId="2" fontId="0" fillId="0" borderId="0" xfId="0" applyNumberFormat="1" applyAlignment="1">
      <alignment horizontal="left" vertical="center" indent="1"/>
    </xf>
    <xf numFmtId="166" fontId="0" fillId="0" borderId="0" xfId="0" applyNumberFormat="1" applyAlignment="1">
      <alignment horizontal="left" vertical="center" indent="1"/>
    </xf>
    <xf numFmtId="0" fontId="0" fillId="0" borderId="0" xfId="0" applyFill="1" applyBorder="1" applyAlignment="1">
      <alignment horizontal="left" vertical="center"/>
    </xf>
    <xf numFmtId="167" fontId="2" fillId="0" borderId="0" xfId="9" applyNumberFormat="1">
      <alignment horizontal="right" vertical="center"/>
    </xf>
    <xf numFmtId="0" fontId="2" fillId="0" borderId="0" xfId="9" applyNumberFormat="1">
      <alignment horizontal="right" vertical="center"/>
    </xf>
    <xf numFmtId="14" fontId="2" fillId="0" borderId="0" xfId="9" applyNumberFormat="1">
      <alignment horizontal="right" vertical="center"/>
    </xf>
    <xf numFmtId="0" fontId="2" fillId="0" borderId="0" xfId="9" applyNumberFormat="1" applyAlignment="1">
      <alignment horizontal="left" vertical="center"/>
    </xf>
    <xf numFmtId="165" fontId="2" fillId="0" borderId="0" xfId="9" applyAlignment="1">
      <alignment horizontal="left" vertical="center"/>
    </xf>
    <xf numFmtId="0" fontId="2" fillId="0" borderId="0" xfId="9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165" fontId="0" fillId="0" borderId="0" xfId="9" applyFont="1">
      <alignment horizontal="right" vertical="center"/>
    </xf>
    <xf numFmtId="0" fontId="10" fillId="0" borderId="0" xfId="0" applyFont="1">
      <alignment horizontal="left" vertical="center"/>
    </xf>
    <xf numFmtId="0" fontId="11" fillId="0" borderId="0" xfId="0" applyFont="1">
      <alignment horizontal="left" vertical="center"/>
    </xf>
    <xf numFmtId="0" fontId="10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/>
    </xf>
    <xf numFmtId="14" fontId="10" fillId="0" borderId="0" xfId="7" applyFont="1">
      <alignment horizontal="left" vertical="center" indent="1"/>
    </xf>
    <xf numFmtId="166" fontId="10" fillId="0" borderId="0" xfId="0" applyNumberFormat="1" applyFont="1">
      <alignment horizontal="left" vertical="center"/>
    </xf>
    <xf numFmtId="14" fontId="0" fillId="0" borderId="0" xfId="7" applyFont="1">
      <alignment horizontal="left" vertical="center" indent="1"/>
    </xf>
    <xf numFmtId="166" fontId="0" fillId="0" borderId="0" xfId="0" applyNumberFormat="1">
      <alignment horizontal="left" vertical="center"/>
    </xf>
    <xf numFmtId="0" fontId="0" fillId="0" borderId="0" xfId="0" applyFont="1" applyAlignment="1">
      <alignment horizontal="left" vertical="center"/>
    </xf>
    <xf numFmtId="165" fontId="12" fillId="0" borderId="0" xfId="9" applyFont="1">
      <alignment horizontal="right" vertical="center"/>
    </xf>
    <xf numFmtId="0" fontId="12" fillId="0" borderId="0" xfId="0" applyFont="1">
      <alignment horizontal="left" vertical="center"/>
    </xf>
    <xf numFmtId="0" fontId="12" fillId="0" borderId="0" xfId="0" applyFont="1" applyAlignment="1">
      <alignment horizontal="left" vertical="center" indent="1"/>
    </xf>
    <xf numFmtId="0" fontId="15" fillId="0" borderId="0" xfId="11" applyFont="1"/>
    <xf numFmtId="0" fontId="0" fillId="0" borderId="0" xfId="0" applyFont="1" applyAlignment="1">
      <alignment horizontal="left" vertical="center" indent="1"/>
    </xf>
    <xf numFmtId="14" fontId="0" fillId="0" borderId="0" xfId="0" applyNumberFormat="1" applyAlignment="1">
      <alignment horizontal="left" vertical="center"/>
    </xf>
    <xf numFmtId="0" fontId="0" fillId="0" borderId="0" xfId="9" applyNumberFormat="1" applyFont="1" applyAlignment="1">
      <alignment horizontal="left" vertical="center"/>
    </xf>
    <xf numFmtId="165" fontId="0" fillId="0" borderId="0" xfId="9" applyFont="1" applyAlignment="1">
      <alignment horizontal="left" vertical="center"/>
    </xf>
    <xf numFmtId="0" fontId="0" fillId="0" borderId="0" xfId="9" applyNumberFormat="1" applyFont="1" applyAlignment="1">
      <alignment horizontal="center" vertical="center"/>
    </xf>
    <xf numFmtId="0" fontId="0" fillId="0" borderId="0" xfId="9" applyNumberFormat="1" applyFont="1">
      <alignment horizontal="right" vertical="center"/>
    </xf>
    <xf numFmtId="0" fontId="17" fillId="0" borderId="0" xfId="14" applyNumberFormat="1" applyAlignment="1">
      <alignment horizontal="left" vertical="center"/>
    </xf>
    <xf numFmtId="0" fontId="16" fillId="2" borderId="3" xfId="13" applyFont="1" applyFill="1">
      <alignment horizontal="center" vertical="center"/>
    </xf>
    <xf numFmtId="167" fontId="16" fillId="2" borderId="3" xfId="13" applyNumberFormat="1" applyFont="1" applyFill="1">
      <alignment horizontal="center" vertical="center"/>
    </xf>
    <xf numFmtId="168" fontId="16" fillId="2" borderId="3" xfId="13" applyNumberFormat="1" applyFont="1" applyFill="1">
      <alignment horizontal="center" vertical="center"/>
    </xf>
    <xf numFmtId="0" fontId="12" fillId="5" borderId="0" xfId="0" applyFont="1" applyFill="1" applyAlignment="1">
      <alignment horizontal="left" vertical="center" indent="1"/>
    </xf>
    <xf numFmtId="0" fontId="13" fillId="6" borderId="0" xfId="12" applyFont="1" applyFill="1">
      <alignment horizontal="left" vertical="center" indent="1"/>
    </xf>
    <xf numFmtId="0" fontId="14" fillId="6" borderId="0" xfId="12" applyFont="1" applyFill="1">
      <alignment horizontal="left" vertical="center" indent="1"/>
    </xf>
    <xf numFmtId="166" fontId="14" fillId="6" borderId="0" xfId="12" applyNumberFormat="1" applyFont="1" applyFill="1">
      <alignment horizontal="left" vertical="center" indent="1"/>
    </xf>
    <xf numFmtId="0" fontId="8" fillId="6" borderId="0" xfId="0" applyFont="1" applyFill="1">
      <alignment horizontal="left" vertical="center"/>
    </xf>
    <xf numFmtId="0" fontId="0" fillId="0" borderId="0" xfId="0" applyFill="1">
      <alignment horizontal="left" vertical="center"/>
    </xf>
    <xf numFmtId="0" fontId="0" fillId="0" borderId="3" xfId="0" applyFill="1" applyBorder="1">
      <alignment horizontal="left" vertical="center"/>
    </xf>
    <xf numFmtId="0" fontId="13" fillId="6" borderId="0" xfId="0" applyFont="1" applyFill="1" applyAlignment="1">
      <alignment horizontal="right" vertical="center"/>
    </xf>
    <xf numFmtId="0" fontId="0" fillId="6" borderId="0" xfId="0" applyFill="1" applyAlignment="1">
      <alignment horizontal="right" vertical="center"/>
    </xf>
    <xf numFmtId="0" fontId="0" fillId="6" borderId="0" xfId="0" applyFont="1" applyFill="1" applyAlignment="1">
      <alignment horizontal="right" vertical="center"/>
    </xf>
    <xf numFmtId="0" fontId="10" fillId="6" borderId="0" xfId="0" applyFont="1" applyFill="1" applyAlignment="1">
      <alignment horizontal="right" vertical="center"/>
    </xf>
    <xf numFmtId="0" fontId="18" fillId="0" borderId="0" xfId="0" applyFont="1">
      <alignment horizontal="left" vertical="center"/>
    </xf>
    <xf numFmtId="165" fontId="2" fillId="0" borderId="0" xfId="9" applyFill="1">
      <alignment horizontal="right" vertical="center"/>
    </xf>
    <xf numFmtId="0" fontId="2" fillId="0" borderId="0" xfId="9" applyNumberFormat="1" applyFill="1" applyAlignment="1">
      <alignment horizontal="left" vertical="center"/>
    </xf>
    <xf numFmtId="0" fontId="2" fillId="0" borderId="0" xfId="9" applyNumberFormat="1" applyFill="1">
      <alignment horizontal="right" vertical="center"/>
    </xf>
    <xf numFmtId="165" fontId="2" fillId="0" borderId="0" xfId="9" applyFill="1" applyAlignment="1">
      <alignment horizontal="left" vertical="center"/>
    </xf>
    <xf numFmtId="14" fontId="2" fillId="0" borderId="0" xfId="9" applyNumberFormat="1" applyFill="1">
      <alignment horizontal="right" vertical="center"/>
    </xf>
    <xf numFmtId="0" fontId="2" fillId="0" borderId="0" xfId="9" applyNumberFormat="1" applyFill="1" applyAlignment="1">
      <alignment horizontal="center" vertical="center"/>
    </xf>
    <xf numFmtId="167" fontId="2" fillId="0" borderId="0" xfId="9" applyNumberFormat="1" applyFill="1">
      <alignment horizontal="right" vertical="center"/>
    </xf>
  </cellXfs>
  <cellStyles count="15">
    <cellStyle name="Currency" xfId="3" builtinId="4" customBuiltin="1"/>
    <cellStyle name="Currency [0]" xfId="4" builtinId="7" customBuiltin="1"/>
    <cellStyle name="Date" xfId="7" xr:uid="{00000000-0005-0000-0000-000002000000}"/>
    <cellStyle name="Debit Credit separator" xfId="10" xr:uid="{00000000-0005-0000-0000-000003000000}"/>
    <cellStyle name="Excel Built-in Normal" xfId="11" xr:uid="{00000000-0005-0000-0000-000004000000}"/>
    <cellStyle name="Heading 1" xfId="2" builtinId="16" customBuiltin="1"/>
    <cellStyle name="Heading 2" xfId="5" builtinId="17" customBuiltin="1"/>
    <cellStyle name="Heading 3" xfId="6" builtinId="18" customBuiltin="1"/>
    <cellStyle name="Hyperlink" xfId="14" builtinId="8"/>
    <cellStyle name="Icon" xfId="9" xr:uid="{00000000-0005-0000-0000-000008000000}"/>
    <cellStyle name="Normal" xfId="0" builtinId="0" customBuiltin="1"/>
    <cellStyle name="Number" xfId="8" xr:uid="{00000000-0005-0000-0000-00000A000000}"/>
    <cellStyle name="Summary Table Data" xfId="13" xr:uid="{4513F327-88C5-4AE7-9A59-66615D1A0ED0}"/>
    <cellStyle name="Summary Table Head" xfId="12" xr:uid="{6128C10F-1084-4416-BDF2-4604784EAF45}"/>
    <cellStyle name="Title" xfId="1" builtinId="15" customBuiltin="1"/>
  </cellStyles>
  <dxfs count="46"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wrapText="1"/>
    </dxf>
    <dxf>
      <alignment wrapText="1"/>
    </dxf>
    <dxf>
      <alignment wrapText="1"/>
    </dxf>
    <dxf>
      <numFmt numFmtId="166" formatCode="_-* #,##0.00\ [$€-140C]_-;\-* #,##0.00\ [$€-140C]_-;_-* &quot;-&quot;??\ [$€-140C]_-;_-@_-"/>
    </dxf>
    <dxf>
      <numFmt numFmtId="166" formatCode="_-* #,##0.00\ [$€-140C]_-;\-* #,##0.00\ [$€-140C]_-;_-* &quot;-&quot;??\ [$€-140C]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166" formatCode="_-* #,##0.00\ [$€-140C]_-;\-* #,##0.00\ [$€-140C]_-;_-* &quot;-&quot;??\ [$€-140C]_-;_-@_-"/>
    </dxf>
    <dxf>
      <numFmt numFmtId="166" formatCode="_-* #,##0.00\ [$€-140C]_-;\-* #,##0.00\ [$€-140C]_-;_-* &quot;-&quot;??\ [$€-140C]_-;_-@_-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1" justifyLastLine="0" shrinkToFit="0" readingOrder="0"/>
    </dxf>
    <dxf>
      <numFmt numFmtId="167" formatCode="_-[$€-2]\ * #,##0.00_-;\-[$€-2]\ * #,##0.00_-;_-[$€-2]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1" justifyLastLine="0" shrinkToFit="0" readingOrder="0"/>
    </dxf>
    <dxf>
      <font>
        <color theme="0"/>
      </font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>
          <bgColor theme="4" tint="0.79998168889431442"/>
        </patternFill>
      </fill>
      <border>
        <vertical/>
        <horizontal/>
      </border>
    </dxf>
    <dxf>
      <font>
        <color theme="0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i val="0"/>
        <color theme="4" tint="-0.499984740745262"/>
      </font>
      <fill>
        <patternFill patternType="none">
          <fgColor indexed="64"/>
          <bgColor auto="1"/>
        </patternFill>
      </fill>
      <border>
        <top style="medium">
          <color theme="4" tint="-0.24994659260841701"/>
        </top>
      </border>
    </dxf>
    <dxf>
      <font>
        <color theme="1"/>
      </font>
      <border>
        <left/>
        <right/>
        <top/>
        <bottom style="dotted">
          <color theme="4" tint="0.39994506668294322"/>
        </bottom>
        <vertical style="dotted">
          <color theme="4" tint="0.39994506668294322"/>
        </vertical>
        <horizontal style="dotted">
          <color theme="4" tint="0.39994506668294322"/>
        </horizontal>
      </border>
    </dxf>
  </dxfs>
  <tableStyles count="1" defaultTableStyle="TableStyleMedium2" defaultPivotStyle="PivotStyleLight16">
    <tableStyle name="Ledger" pivot="0" count="8" xr9:uid="{00000000-0011-0000-FFFF-FFFF00000000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secondRowStripe" dxfId="40"/>
      <tableStyleElement type="firstColumnStripe" dxfId="39"/>
      <tableStyleElement type="lastHeaderCell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image" Target="../media/image18.emf"/><Relationship Id="rId7" Type="http://schemas.openxmlformats.org/officeDocument/2006/relationships/image" Target="../media/image22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2</xdr:row>
      <xdr:rowOff>85725</xdr:rowOff>
    </xdr:from>
    <xdr:to>
      <xdr:col>3</xdr:col>
      <xdr:colOff>436082</xdr:colOff>
      <xdr:row>6</xdr:row>
      <xdr:rowOff>150591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38017"/>
        <a:stretch/>
      </xdr:blipFill>
      <xdr:spPr>
        <a:xfrm>
          <a:off x="104775" y="85725"/>
          <a:ext cx="3114674" cy="7887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5</xdr:row>
          <xdr:rowOff>9525</xdr:rowOff>
        </xdr:from>
        <xdr:to>
          <xdr:col>5</xdr:col>
          <xdr:colOff>180975</xdr:colOff>
          <xdr:row>6</xdr:row>
          <xdr:rowOff>95250</xdr:rowOff>
        </xdr:to>
        <xdr:sp macro="" textlink="">
          <xdr:nvSpPr>
            <xdr:cNvPr id="4098" name="btnHome2Home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9525</xdr:rowOff>
        </xdr:from>
        <xdr:to>
          <xdr:col>5</xdr:col>
          <xdr:colOff>1228725</xdr:colOff>
          <xdr:row>6</xdr:row>
          <xdr:rowOff>95250</xdr:rowOff>
        </xdr:to>
        <xdr:sp macro="" textlink="">
          <xdr:nvSpPr>
            <xdr:cNvPr id="4099" name="btnHom2Member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1352550</xdr:colOff>
          <xdr:row>5</xdr:row>
          <xdr:rowOff>9525</xdr:rowOff>
        </xdr:from>
        <xdr:to>
          <xdr:col>7</xdr:col>
          <xdr:colOff>19050</xdr:colOff>
          <xdr:row>6</xdr:row>
          <xdr:rowOff>95250</xdr:rowOff>
        </xdr:to>
        <xdr:sp macro="" textlink="">
          <xdr:nvSpPr>
            <xdr:cNvPr id="4100" name="btnHome2Financ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2</xdr:row>
      <xdr:rowOff>85725</xdr:rowOff>
    </xdr:from>
    <xdr:to>
      <xdr:col>3</xdr:col>
      <xdr:colOff>818160</xdr:colOff>
      <xdr:row>6</xdr:row>
      <xdr:rowOff>150591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38017"/>
        <a:stretch/>
      </xdr:blipFill>
      <xdr:spPr>
        <a:xfrm>
          <a:off x="104775" y="85725"/>
          <a:ext cx="3114674" cy="7887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5</xdr:row>
          <xdr:rowOff>0</xdr:rowOff>
        </xdr:from>
        <xdr:to>
          <xdr:col>4</xdr:col>
          <xdr:colOff>476250</xdr:colOff>
          <xdr:row>6</xdr:row>
          <xdr:rowOff>85725</xdr:rowOff>
        </xdr:to>
        <xdr:sp macro="" textlink="">
          <xdr:nvSpPr>
            <xdr:cNvPr id="5121" name="btnMembers2Hom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0</xdr:rowOff>
        </xdr:from>
        <xdr:to>
          <xdr:col>5</xdr:col>
          <xdr:colOff>866775</xdr:colOff>
          <xdr:row>6</xdr:row>
          <xdr:rowOff>85725</xdr:rowOff>
        </xdr:to>
        <xdr:sp macro="" textlink="">
          <xdr:nvSpPr>
            <xdr:cNvPr id="5122" name="btnMembers2Member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0</xdr:rowOff>
        </xdr:from>
        <xdr:to>
          <xdr:col>6</xdr:col>
          <xdr:colOff>942975</xdr:colOff>
          <xdr:row>6</xdr:row>
          <xdr:rowOff>85725</xdr:rowOff>
        </xdr:to>
        <xdr:sp macro="" textlink="">
          <xdr:nvSpPr>
            <xdr:cNvPr id="5123" name="btnMembers2Financ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4</xdr:row>
          <xdr:rowOff>161925</xdr:rowOff>
        </xdr:from>
        <xdr:to>
          <xdr:col>8</xdr:col>
          <xdr:colOff>409575</xdr:colOff>
          <xdr:row>6</xdr:row>
          <xdr:rowOff>66675</xdr:rowOff>
        </xdr:to>
        <xdr:sp macro="" textlink="">
          <xdr:nvSpPr>
            <xdr:cNvPr id="5124" name="btnNewMembe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4</xdr:row>
          <xdr:rowOff>152400</xdr:rowOff>
        </xdr:from>
        <xdr:to>
          <xdr:col>9</xdr:col>
          <xdr:colOff>838200</xdr:colOff>
          <xdr:row>6</xdr:row>
          <xdr:rowOff>57150</xdr:rowOff>
        </xdr:to>
        <xdr:sp macro="" textlink="">
          <xdr:nvSpPr>
            <xdr:cNvPr id="5125" name="btnFindMember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77279</xdr:colOff>
      <xdr:row>2</xdr:row>
      <xdr:rowOff>58767</xdr:rowOff>
    </xdr:from>
    <xdr:to>
      <xdr:col>3</xdr:col>
      <xdr:colOff>512553</xdr:colOff>
      <xdr:row>6</xdr:row>
      <xdr:rowOff>123633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38017"/>
        <a:stretch/>
      </xdr:blipFill>
      <xdr:spPr>
        <a:xfrm>
          <a:off x="77279" y="597918"/>
          <a:ext cx="3113057" cy="7837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4</xdr:row>
          <xdr:rowOff>142875</xdr:rowOff>
        </xdr:from>
        <xdr:to>
          <xdr:col>4</xdr:col>
          <xdr:colOff>409575</xdr:colOff>
          <xdr:row>6</xdr:row>
          <xdr:rowOff>57150</xdr:rowOff>
        </xdr:to>
        <xdr:sp macro="" textlink="">
          <xdr:nvSpPr>
            <xdr:cNvPr id="2052" name="btnFinance2Hom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4</xdr:row>
          <xdr:rowOff>133350</xdr:rowOff>
        </xdr:from>
        <xdr:to>
          <xdr:col>4</xdr:col>
          <xdr:colOff>1457325</xdr:colOff>
          <xdr:row>6</xdr:row>
          <xdr:rowOff>47625</xdr:rowOff>
        </xdr:to>
        <xdr:sp macro="" textlink="">
          <xdr:nvSpPr>
            <xdr:cNvPr id="2053" name="btnFinance2Member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1543050</xdr:colOff>
          <xdr:row>4</xdr:row>
          <xdr:rowOff>123825</xdr:rowOff>
        </xdr:from>
        <xdr:to>
          <xdr:col>4</xdr:col>
          <xdr:colOff>2457450</xdr:colOff>
          <xdr:row>6</xdr:row>
          <xdr:rowOff>38100</xdr:rowOff>
        </xdr:to>
        <xdr:sp macro="" textlink="">
          <xdr:nvSpPr>
            <xdr:cNvPr id="2054" name="btnFinance2Financ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2676525</xdr:colOff>
          <xdr:row>4</xdr:row>
          <xdr:rowOff>123825</xdr:rowOff>
        </xdr:from>
        <xdr:to>
          <xdr:col>5</xdr:col>
          <xdr:colOff>390525</xdr:colOff>
          <xdr:row>6</xdr:row>
          <xdr:rowOff>38100</xdr:rowOff>
        </xdr:to>
        <xdr:sp macro="" textlink="">
          <xdr:nvSpPr>
            <xdr:cNvPr id="2056" name="btnNewOp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4</xdr:row>
          <xdr:rowOff>114300</xdr:rowOff>
        </xdr:from>
        <xdr:to>
          <xdr:col>6</xdr:col>
          <xdr:colOff>1590675</xdr:colOff>
          <xdr:row>6</xdr:row>
          <xdr:rowOff>28575</xdr:rowOff>
        </xdr:to>
        <xdr:sp macro="" textlink="">
          <xdr:nvSpPr>
            <xdr:cNvPr id="2057" name="lblFinance2FinancialAnalysi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4</xdr:row>
          <xdr:rowOff>114300</xdr:rowOff>
        </xdr:from>
        <xdr:to>
          <xdr:col>6</xdr:col>
          <xdr:colOff>523875</xdr:colOff>
          <xdr:row>6</xdr:row>
          <xdr:rowOff>28575</xdr:rowOff>
        </xdr:to>
        <xdr:sp macro="" textlink="">
          <xdr:nvSpPr>
            <xdr:cNvPr id="2058" name="btnFindOp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123825</xdr:rowOff>
        </xdr:from>
        <xdr:to>
          <xdr:col>1</xdr:col>
          <xdr:colOff>1171575</xdr:colOff>
          <xdr:row>2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66675</xdr:rowOff>
        </xdr:from>
        <xdr:to>
          <xdr:col>1</xdr:col>
          <xdr:colOff>1143000</xdr:colOff>
          <xdr:row>3</xdr:row>
          <xdr:rowOff>152400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4</xdr:row>
          <xdr:rowOff>57150</xdr:rowOff>
        </xdr:from>
        <xdr:to>
          <xdr:col>1</xdr:col>
          <xdr:colOff>1143000</xdr:colOff>
          <xdr:row>5</xdr:row>
          <xdr:rowOff>142875</xdr:rowOff>
        </xdr:to>
        <xdr:sp macro="" textlink=""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6</xdr:row>
          <xdr:rowOff>142875</xdr:rowOff>
        </xdr:from>
        <xdr:to>
          <xdr:col>1</xdr:col>
          <xdr:colOff>1162050</xdr:colOff>
          <xdr:row>8</xdr:row>
          <xdr:rowOff>47625</xdr:rowOff>
        </xdr:to>
        <xdr:sp macro="" textlink="">
          <xdr:nvSpPr>
            <xdr:cNvPr id="7172" name="CommandButton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8</xdr:row>
          <xdr:rowOff>123825</xdr:rowOff>
        </xdr:from>
        <xdr:to>
          <xdr:col>1</xdr:col>
          <xdr:colOff>1181100</xdr:colOff>
          <xdr:row>10</xdr:row>
          <xdr:rowOff>28575</xdr:rowOff>
        </xdr:to>
        <xdr:sp macro="" textlink="">
          <xdr:nvSpPr>
            <xdr:cNvPr id="7173" name="CommandButton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11</xdr:row>
          <xdr:rowOff>133350</xdr:rowOff>
        </xdr:from>
        <xdr:to>
          <xdr:col>1</xdr:col>
          <xdr:colOff>1152525</xdr:colOff>
          <xdr:row>13</xdr:row>
          <xdr:rowOff>47625</xdr:rowOff>
        </xdr:to>
        <xdr:sp macro="" textlink="">
          <xdr:nvSpPr>
            <xdr:cNvPr id="7174" name="CommandButton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15</xdr:row>
          <xdr:rowOff>152400</xdr:rowOff>
        </xdr:from>
        <xdr:to>
          <xdr:col>1</xdr:col>
          <xdr:colOff>1162050</xdr:colOff>
          <xdr:row>17</xdr:row>
          <xdr:rowOff>66675</xdr:rowOff>
        </xdr:to>
        <xdr:sp macro="" textlink="">
          <xdr:nvSpPr>
            <xdr:cNvPr id="7175" name="CommandButton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5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13</xdr:row>
          <xdr:rowOff>161925</xdr:rowOff>
        </xdr:from>
        <xdr:to>
          <xdr:col>1</xdr:col>
          <xdr:colOff>1162050</xdr:colOff>
          <xdr:row>15</xdr:row>
          <xdr:rowOff>76200</xdr:rowOff>
        </xdr:to>
        <xdr:sp macro="" textlink="">
          <xdr:nvSpPr>
            <xdr:cNvPr id="7176" name="CommandButton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5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104775</xdr:colOff>
      <xdr:row>0</xdr:row>
      <xdr:rowOff>152400</xdr:rowOff>
    </xdr:from>
    <xdr:ext cx="5693546" cy="57900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886950" y="152400"/>
          <a:ext cx="5693546" cy="57900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An dësem Onglet, deen eng Art Homepage</a:t>
          </a:r>
          <a:r>
            <a:rPr lang="en-GB" sz="1100" baseline="0"/>
            <a:t> soll sinn,</a:t>
          </a:r>
          <a:r>
            <a:rPr lang="en-GB" sz="1100"/>
            <a:t> gëtt eng Iwwersiicht gewisen. </a:t>
          </a:r>
        </a:p>
        <a:p>
          <a:r>
            <a:rPr lang="en-GB" sz="1100"/>
            <a:t>Wann der se wëllt upassen, kuckt iech am beschten d'Formelen un</a:t>
          </a:r>
          <a:r>
            <a:rPr lang="en-GB" sz="1100" baseline="0"/>
            <a:t>. Mat e puer klengen </a:t>
          </a:r>
        </a:p>
        <a:p>
          <a:r>
            <a:rPr lang="en-GB" sz="1100" baseline="0"/>
            <a:t>Upassungen kann een se einfach op déi eege Besoinën upassen.</a:t>
          </a:r>
          <a:endParaRPr lang="en-GB" sz="1100"/>
        </a:p>
      </xdr:txBody>
    </xdr:sp>
    <xdr:clientData/>
  </xdr:oneCellAnchor>
  <xdr:oneCellAnchor>
    <xdr:from>
      <xdr:col>3</xdr:col>
      <xdr:colOff>123825</xdr:colOff>
      <xdr:row>6</xdr:row>
      <xdr:rowOff>57150</xdr:rowOff>
    </xdr:from>
    <xdr:ext cx="5458225" cy="579005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9906000" y="1143000"/>
          <a:ext cx="5458225" cy="57900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Dëst ass eng Memberslëscht,</a:t>
          </a:r>
          <a:r>
            <a:rPr lang="en-GB" sz="1100" baseline="0"/>
            <a:t> mat engem Formulaire fir nei Memberen anzedroen.</a:t>
          </a:r>
        </a:p>
        <a:p>
          <a:r>
            <a:rPr lang="en-GB" sz="1100" baseline="0"/>
            <a:t>De Formulaire ass am Fong zimlech selbsterklärend. D'Donneeën kënnen awer och </a:t>
          </a:r>
        </a:p>
        <a:p>
          <a:r>
            <a:rPr lang="en-GB" sz="1100" baseline="0"/>
            <a:t>soss manuell geännert oder agedroe ginn.</a:t>
          </a:r>
          <a:endParaRPr lang="en-GB" sz="1100"/>
        </a:p>
      </xdr:txBody>
    </xdr:sp>
    <xdr:clientData/>
  </xdr:oneCellAnchor>
  <xdr:oneCellAnchor>
    <xdr:from>
      <xdr:col>3</xdr:col>
      <xdr:colOff>104775</xdr:colOff>
      <xdr:row>10</xdr:row>
      <xdr:rowOff>123825</xdr:rowOff>
    </xdr:from>
    <xdr:ext cx="7242047" cy="1714572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9886950" y="1933575"/>
          <a:ext cx="7242047" cy="171457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Dëst ass e Keessbuch</a:t>
          </a:r>
          <a:r>
            <a:rPr lang="en-GB" sz="1100" baseline="0"/>
            <a:t> fir d'Recetten an d'Depesen am Bléck ze behalen. Eng nei Transaktioun</a:t>
          </a:r>
        </a:p>
        <a:p>
          <a:r>
            <a:rPr lang="en-GB" sz="1100" baseline="0"/>
            <a:t>kann per Formulaire oder manuell agedroe ginn. Spéider kann och manuell korrigéiert ginn, wann</a:t>
          </a:r>
        </a:p>
        <a:p>
          <a:r>
            <a:rPr lang="en-GB" sz="1100" baseline="0"/>
            <a:t>et néideg ass.</a:t>
          </a:r>
        </a:p>
        <a:p>
          <a:endParaRPr lang="en-GB" sz="1100" baseline="0"/>
        </a:p>
        <a:p>
          <a:r>
            <a:rPr lang="en-GB" sz="1100" baseline="0"/>
            <a:t>Fonctioun an Konto (Comptabilitéitskonto, net ze verwiesselen mat eng Bankkonto) ginn automatesch aus </a:t>
          </a:r>
        </a:p>
        <a:p>
          <a:r>
            <a:rPr lang="en-GB" sz="1100" baseline="0"/>
            <a:t>dem PCG gezunn, deen ee beliebeg upasse kann. Allerdéngs muss een dann de Resumé op der Home-Sheet</a:t>
          </a:r>
        </a:p>
        <a:p>
          <a:r>
            <a:rPr lang="en-GB" sz="1100" baseline="0"/>
            <a:t>upassen.</a:t>
          </a:r>
        </a:p>
        <a:p>
          <a:endParaRPr lang="en-GB" sz="1100" baseline="0"/>
        </a:p>
        <a:p>
          <a:r>
            <a:rPr lang="en-GB" sz="1100" baseline="0"/>
            <a:t>Bei der Fonctioun froe mer eis, virwat eng Recette oder Depense zoustane komm ass (z.B. Camp, Weekend, ...).</a:t>
          </a:r>
        </a:p>
        <a:p>
          <a:r>
            <a:rPr lang="en-GB" sz="1100" baseline="0"/>
            <a:t>Beim Konto froe mer eis, wat fir eng Recette oder Depense et war (Ravi, Material, ...)</a:t>
          </a:r>
        </a:p>
      </xdr:txBody>
    </xdr:sp>
    <xdr:clientData/>
  </xdr:oneCellAnchor>
  <xdr:oneCellAnchor>
    <xdr:from>
      <xdr:col>1</xdr:col>
      <xdr:colOff>1333500</xdr:colOff>
      <xdr:row>20</xdr:row>
      <xdr:rowOff>95250</xdr:rowOff>
    </xdr:from>
    <xdr:ext cx="3999300" cy="903452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3514725" y="3714750"/>
          <a:ext cx="3999300" cy="90345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>
              <a:solidFill>
                <a:srgbClr val="FF0000"/>
              </a:solidFill>
            </a:rPr>
            <a:t>WICHTEG I</a:t>
          </a:r>
          <a:r>
            <a:rPr lang="en-GB" sz="1100">
              <a:solidFill>
                <a:srgbClr val="FF0000"/>
              </a:solidFill>
            </a:rPr>
            <a:t>:</a:t>
          </a:r>
          <a:r>
            <a:rPr lang="en-GB" sz="1100" baseline="0">
              <a:solidFill>
                <a:srgbClr val="FF0000"/>
              </a:solidFill>
            </a:rPr>
            <a:t> </a:t>
          </a:r>
        </a:p>
        <a:p>
          <a:r>
            <a:rPr lang="en-GB" sz="1100" baseline="0">
              <a:solidFill>
                <a:srgbClr val="FF0000"/>
              </a:solidFill>
            </a:rPr>
            <a:t>D'Knäppercher fonctionnéiere just, wann een d'Macroën </a:t>
          </a:r>
        </a:p>
        <a:p>
          <a:r>
            <a:rPr lang="en-GB" sz="1100">
              <a:solidFill>
                <a:srgbClr val="FF0000"/>
              </a:solidFill>
            </a:rPr>
            <a:t>erlaabt!!! Wann der d'Dokument fir d'éischte Kéier opmaacht,</a:t>
          </a:r>
        </a:p>
        <a:p>
          <a:r>
            <a:rPr lang="en-GB" sz="1100">
              <a:solidFill>
                <a:srgbClr val="FF0000"/>
              </a:solidFill>
            </a:rPr>
            <a:t>gitt</a:t>
          </a:r>
          <a:r>
            <a:rPr lang="en-GB" sz="1100" baseline="0">
              <a:solidFill>
                <a:srgbClr val="FF0000"/>
              </a:solidFill>
            </a:rPr>
            <a:t> der gefrot, fir Macroën z'aktivéieren an desem Dokument.</a:t>
          </a:r>
        </a:p>
        <a:p>
          <a:r>
            <a:rPr lang="en-GB" sz="1100" baseline="0">
              <a:solidFill>
                <a:srgbClr val="FF0000"/>
              </a:solidFill>
            </a:rPr>
            <a:t>Hei muss der jo soen.</a:t>
          </a:r>
          <a:endParaRPr lang="en-GB" sz="1100">
            <a:solidFill>
              <a:srgbClr val="FF0000"/>
            </a:solidFill>
          </a:endParaRPr>
        </a:p>
      </xdr:txBody>
    </xdr:sp>
    <xdr:clientData/>
  </xdr:oneCellAnchor>
  <xdr:oneCellAnchor>
    <xdr:from>
      <xdr:col>1</xdr:col>
      <xdr:colOff>1352550</xdr:colOff>
      <xdr:row>26</xdr:row>
      <xdr:rowOff>66675</xdr:rowOff>
    </xdr:from>
    <xdr:ext cx="4000500" cy="579005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2A6BF51-8035-43C3-B0C4-EF61AAE609FB}"/>
            </a:ext>
          </a:extLst>
        </xdr:cNvPr>
        <xdr:cNvSpPr txBox="1"/>
      </xdr:nvSpPr>
      <xdr:spPr>
        <a:xfrm>
          <a:off x="3533775" y="4772025"/>
          <a:ext cx="4000500" cy="57900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 b="1">
              <a:solidFill>
                <a:srgbClr val="FF0000"/>
              </a:solidFill>
            </a:rPr>
            <a:t>WICHTEG II</a:t>
          </a:r>
          <a:r>
            <a:rPr lang="en-GB" sz="1100">
              <a:solidFill>
                <a:srgbClr val="FF0000"/>
              </a:solidFill>
            </a:rPr>
            <a:t>:</a:t>
          </a:r>
          <a:r>
            <a:rPr lang="en-GB" sz="1100" baseline="0">
              <a:solidFill>
                <a:srgbClr val="FF0000"/>
              </a:solidFill>
            </a:rPr>
            <a:t> </a:t>
          </a:r>
        </a:p>
        <a:p>
          <a:r>
            <a:rPr lang="en-GB" sz="1100" baseline="0">
              <a:solidFill>
                <a:srgbClr val="FF0000"/>
              </a:solidFill>
            </a:rPr>
            <a:t>Fir datt de Formulaire richteg schafft, muss eng Zeil manuell dobäigesat sinn.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les Majerus" refreshedDate="43401.808044212965" createdVersion="6" refreshedVersion="6" minRefreshableVersion="3" recordCount="2" xr:uid="{00000000-000A-0000-FFFF-FFFF09000000}">
  <cacheSource type="worksheet">
    <worksheetSource name="Journal"/>
  </cacheSource>
  <cacheFields count="9">
    <cacheField name="ID" numFmtId="0">
      <sharedItems/>
    </cacheField>
    <cacheField name="Datum" numFmtId="14">
      <sharedItems containsNonDate="0" containsDate="1" containsBlank="1" containsMixedTypes="1" minDate="2017-09-02T00:00:00" maxDate="2018-09-19T00:00:00" count="21">
        <d v="2018-09-18T00:00:00"/>
        <d v="2018-09-01T00:00:00"/>
        <m u="1"/>
        <d v="2017-12-09T00:00:00" u="1"/>
        <d v="2017-11-23T00:00:00" u="1"/>
        <s v="28/08/2017" u="1"/>
        <d v="2018-01-02T00:00:00" u="1"/>
        <s v="02/11/2017" u="1"/>
        <d v="2017-11-21T00:00:00" u="1"/>
        <s v="24/10/2017" u="1"/>
        <d v="2017-12-31T00:00:00" u="1"/>
        <s v="02/10/2017" u="1"/>
        <d v="2017-09-02T00:00:00" u="1"/>
        <s v="01/09/2017" u="1"/>
        <s v="03/09/2017" u="1"/>
        <s v="18/09/2017" u="1"/>
        <d v="2017-12-01T00:00:00" u="1"/>
        <s v="03/11/2017" u="1"/>
        <s v="18/11/2017" u="1"/>
        <s v="03/10/2017" u="1"/>
        <s v="18/10/2017" u="1"/>
      </sharedItems>
    </cacheField>
    <cacheField name="Fonction" numFmtId="0">
      <sharedItems/>
    </cacheField>
    <cacheField name="Code" numFmtId="0">
      <sharedItems/>
    </cacheField>
    <cacheField name="Konto" numFmtId="0">
      <sharedItems count="9">
        <s v="Alimentation"/>
        <s v="Frais Financiers"/>
        <s v="Achat alimentations et boissons (consommation)" u="1"/>
        <s v="Retrait de fonds" u="1"/>
        <s v="Matériel non-food / récréatif (consommable)" u="1"/>
        <s v="Location de chalets / hébergement" u="1"/>
        <s v="-" u="1"/>
        <s v="Cotisation" u="1"/>
        <s v="Participation / Contribution financière aux activités" u="1"/>
      </sharedItems>
    </cacheField>
    <cacheField name="Paiement" numFmtId="0">
      <sharedItems/>
    </cacheField>
    <cacheField name="Libellé" numFmtId="0">
      <sharedItems/>
    </cacheField>
    <cacheField name="Recettes" numFmtId="166">
      <sharedItems containsNonDate="0" containsString="0" containsBlank="1"/>
    </cacheField>
    <cacheField name="Dépenses" numFmtId="166">
      <sharedItems containsSemiMixedTypes="0" containsString="0" containsNumber="1" minValue="1.25" maxValue="5.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D1"/>
    <x v="0"/>
    <s v="Versammlung"/>
    <s v="AE-VERS"/>
    <x v="0"/>
    <s v="Bank"/>
    <s v="Marshmellows"/>
    <m/>
    <n v="5.96"/>
  </r>
  <r>
    <s v="D2"/>
    <x v="1"/>
    <s v="Administratioun"/>
    <s v="AE-ADMIN"/>
    <x v="1"/>
    <s v="Bank"/>
    <s v="Frais essentiel"/>
    <m/>
    <n v="1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Financial Analysis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G9" firstHeaderRow="1" firstDataRow="3" firstDataCol="1"/>
  <pivotFields count="9">
    <pivotField subtotalTop="0" showAll="0"/>
    <pivotField axis="axisRow" subtotalTop="0" showAll="0">
      <items count="22">
        <item m="1" x="5"/>
        <item m="1" x="2"/>
        <item m="1" x="13"/>
        <item m="1" x="12"/>
        <item m="1" x="14"/>
        <item m="1" x="15"/>
        <item m="1" x="11"/>
        <item m="1" x="19"/>
        <item m="1" x="20"/>
        <item m="1" x="9"/>
        <item m="1" x="7"/>
        <item m="1" x="17"/>
        <item m="1" x="18"/>
        <item m="1" x="8"/>
        <item m="1" x="4"/>
        <item m="1" x="16"/>
        <item m="1" x="3"/>
        <item m="1" x="10"/>
        <item m="1" x="6"/>
        <item x="0"/>
        <item x="1"/>
        <item t="default"/>
      </items>
    </pivotField>
    <pivotField showAll="0"/>
    <pivotField showAll="0"/>
    <pivotField axis="axisCol" showAll="0">
      <items count="10">
        <item m="1" x="7"/>
        <item m="1" x="5"/>
        <item m="1" x="4"/>
        <item m="1" x="8"/>
        <item m="1" x="6"/>
        <item x="0"/>
        <item x="1"/>
        <item m="1" x="2"/>
        <item m="1" x="3"/>
        <item t="default"/>
      </items>
    </pivotField>
    <pivotField showAll="0"/>
    <pivotField subtotalTop="0" showAll="0"/>
    <pivotField dataField="1" subtotalTop="0" showAll="0"/>
    <pivotField dataField="1" subtotalTop="0" showAll="0"/>
  </pivotFields>
  <rowFields count="1">
    <field x="1"/>
  </rowFields>
  <rowItems count="3">
    <i>
      <x v="19"/>
    </i>
    <i>
      <x v="20"/>
    </i>
    <i t="grand">
      <x/>
    </i>
  </rowItems>
  <colFields count="2">
    <field x="4"/>
    <field x="-2"/>
  </colFields>
  <colItems count="6">
    <i>
      <x v="5"/>
      <x/>
    </i>
    <i r="1" i="1">
      <x v="1"/>
    </i>
    <i>
      <x v="6"/>
      <x/>
    </i>
    <i r="1" i="1">
      <x v="1"/>
    </i>
    <i t="grand">
      <x/>
    </i>
    <i t="grand" i="1">
      <x/>
    </i>
  </colItems>
  <dataFields count="2">
    <dataField name="Debit" fld="7" baseField="1" baseItem="0" numFmtId="166"/>
    <dataField name="Credit" fld="8" baseField="1" baseItem="0" numFmtId="166"/>
  </dataFields>
  <formats count="12">
    <format dxfId="15">
      <pivotArea type="all" dataOnly="0" outline="0" fieldPosition="0"/>
    </format>
    <format dxfId="14">
      <pivotArea outline="0" collapsedLevelsAreSubtotals="1" fieldPosition="0"/>
    </format>
    <format dxfId="13">
      <pivotArea type="origin" dataOnly="0" labelOnly="1" outline="0" fieldPosition="0"/>
    </format>
    <format dxfId="12">
      <pivotArea field="1" type="button" dataOnly="0" labelOnly="1" outline="0" axis="axisRow" fieldPosition="0"/>
    </format>
    <format dxfId="11">
      <pivotArea type="topRight" dataOnly="0" labelOnly="1" outline="0" fieldPosition="0"/>
    </format>
    <format dxfId="10">
      <pivotArea dataOnly="0" labelOnly="1" grandRow="1" outline="0" fieldPosition="0"/>
    </format>
    <format dxfId="9">
      <pivotArea dataOnly="0" labelOnly="1" grandCol="1" outline="0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fieldPosition="0">
        <references count="1">
          <reference field="4294967294" count="1">
            <x v="1"/>
          </reference>
        </references>
      </pivotArea>
    </format>
    <format dxfId="6">
      <pivotArea dataOnly="0" labelOnly="1" fieldPosition="0">
        <references count="1">
          <reference field="4" count="1">
            <x v="1"/>
          </reference>
        </references>
      </pivotArea>
    </format>
    <format dxfId="5">
      <pivotArea dataOnly="0" labelOnly="1" fieldPosition="0">
        <references count="1">
          <reference field="4" count="1">
            <x v="2"/>
          </reference>
        </references>
      </pivotArea>
    </format>
    <format dxfId="4">
      <pivotArea dataOnly="0" labelOnly="1" fieldPosition="0">
        <references count="1">
          <reference field="4" count="1">
            <x v="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Members" displayName="tblMembers" ref="A8:O10" totalsRowShown="0" headerRowDxfId="37" dataCellStyle="Icon">
  <autoFilter ref="A8:O10" xr:uid="{00000000-0009-0000-0100-000001000000}"/>
  <sortState ref="A9:O13">
    <sortCondition ref="A8:A13"/>
  </sortState>
  <tableColumns count="15">
    <tableColumn id="4" xr3:uid="{00000000-0010-0000-0000-000004000000}" name="Nonumm" dataDxfId="36" dataCellStyle="Icon"/>
    <tableColumn id="5" xr3:uid="{00000000-0010-0000-0000-000005000000}" name="Virnumm" dataDxfId="35" dataCellStyle="Icon"/>
    <tableColumn id="6" xr3:uid="{00000000-0010-0000-0000-000006000000}" name="N°" dataDxfId="34" dataCellStyle="Icon"/>
    <tableColumn id="7" xr3:uid="{00000000-0010-0000-0000-000007000000}" name="Strooss" dataDxfId="33" dataCellStyle="Icon"/>
    <tableColumn id="8" xr3:uid="{00000000-0010-0000-0000-000008000000}" name="PLZ" dataDxfId="32" dataCellStyle="Icon"/>
    <tableColumn id="9" xr3:uid="{00000000-0010-0000-0000-000009000000}" name="Uertschaft" dataDxfId="31" dataCellStyle="Icon"/>
    <tableColumn id="10" xr3:uid="{00000000-0010-0000-0000-00000A000000}" name="Gebuertsdag" dataDxfId="30" dataCellStyle="Icon"/>
    <tableColumn id="11" xr3:uid="{00000000-0010-0000-0000-00000B000000}" name="Sexe" dataDxfId="29" dataCellStyle="Icon"/>
    <tableColumn id="12" xr3:uid="{00000000-0010-0000-0000-00000C000000}" name="Nat." dataDxfId="3" dataCellStyle="Icon"/>
    <tableColumn id="13" xr3:uid="{00000000-0010-0000-0000-00000D000000}" name="Telefon" dataDxfId="2" dataCellStyle="Icon"/>
    <tableColumn id="14" xr3:uid="{00000000-0010-0000-0000-00000E000000}" name="GSM" dataDxfId="0" dataCellStyle="Icon"/>
    <tableColumn id="16" xr3:uid="{00000000-0010-0000-0000-000010000000}" name="Email" dataDxfId="1" dataCellStyle="Icon"/>
    <tableColumn id="2" xr3:uid="{F249C8BA-DF23-4BCB-8EE3-9BC2BA8C7C73}" name="Joer" dataDxfId="28" dataCellStyle="Icon"/>
    <tableColumn id="20" xr3:uid="{00000000-0010-0000-0000-000014000000}" name="Cotisatioun" dataDxfId="27" dataCellStyle="Icon"/>
    <tableColumn id="1" xr3:uid="{9F7C8BCA-D035-4317-99F9-A2B9AEECDA0A}" name="v" dataCellStyle="Ic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urnal" displayName="Journal" ref="A8:I11" totalsRowShown="0" headerRowDxfId="26" dataDxfId="25">
  <autoFilter ref="A8:I11" xr:uid="{00000000-0009-0000-0100-000002000000}"/>
  <tableColumns count="9">
    <tableColumn id="1" xr3:uid="{00000000-0010-0000-0100-000001000000}" name="ID" dataDxfId="24"/>
    <tableColumn id="2" xr3:uid="{00000000-0010-0000-0100-000002000000}" name="Datum" dataDxfId="23" dataCellStyle="Date"/>
    <tableColumn id="3" xr3:uid="{00000000-0010-0000-0100-000003000000}" name="Fonction" dataDxfId="22"/>
    <tableColumn id="4" xr3:uid="{00000000-0010-0000-0100-000004000000}" name="Code" dataDxfId="21"/>
    <tableColumn id="5" xr3:uid="{00000000-0010-0000-0100-000005000000}" name="Konto" dataDxfId="20"/>
    <tableColumn id="6" xr3:uid="{00000000-0010-0000-0100-000006000000}" name="Paiement" dataDxfId="19"/>
    <tableColumn id="7" xr3:uid="{00000000-0010-0000-0100-000007000000}" name="Libellé" dataDxfId="18"/>
    <tableColumn id="8" xr3:uid="{00000000-0010-0000-0100-000008000000}" name="Recettes" dataDxfId="17" dataCellStyle="Normal"/>
    <tableColumn id="9" xr3:uid="{00000000-0010-0000-0100-000009000000}" name="Dépenses" dataDxfId="16" dataCellStyle="Norm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-AccountLedger">
  <a:themeElements>
    <a:clrScheme name="T-Account Ledger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94AC6C"/>
      </a:accent1>
      <a:accent2>
        <a:srgbClr val="B0381C"/>
      </a:accent2>
      <a:accent3>
        <a:srgbClr val="0B648D"/>
      </a:accent3>
      <a:accent4>
        <a:srgbClr val="6A3A65"/>
      </a:accent4>
      <a:accent5>
        <a:srgbClr val="C06F2B"/>
      </a:accent5>
      <a:accent6>
        <a:srgbClr val="9E8A69"/>
      </a:accent6>
      <a:hlink>
        <a:srgbClr val="0B648D"/>
      </a:hlink>
      <a:folHlink>
        <a:srgbClr val="6A3A65"/>
      </a:folHlink>
    </a:clrScheme>
    <a:fontScheme name="T Account Ledger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8.emf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5.emf"/><Relationship Id="rId12" Type="http://schemas.openxmlformats.org/officeDocument/2006/relationships/control" Target="../activeX/activeX7.xml"/><Relationship Id="rId2" Type="http://schemas.openxmlformats.org/officeDocument/2006/relationships/hyperlink" Target="mailto:kunzesarah@lgs.lu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hinzeneckel@lgs.lu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7.emf"/><Relationship Id="rId5" Type="http://schemas.openxmlformats.org/officeDocument/2006/relationships/vmlDrawing" Target="../drawings/vmlDrawing2.vml"/><Relationship Id="rId15" Type="http://schemas.openxmlformats.org/officeDocument/2006/relationships/image" Target="../media/image9.emf"/><Relationship Id="rId10" Type="http://schemas.openxmlformats.org/officeDocument/2006/relationships/control" Target="../activeX/activeX6.xml"/><Relationship Id="rId4" Type="http://schemas.openxmlformats.org/officeDocument/2006/relationships/drawing" Target="../drawings/drawing2.xml"/><Relationship Id="rId9" Type="http://schemas.openxmlformats.org/officeDocument/2006/relationships/image" Target="../media/image6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2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0.emf"/><Relationship Id="rId1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19.xml"/><Relationship Id="rId17" Type="http://schemas.openxmlformats.org/officeDocument/2006/relationships/image" Target="../media/image22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8.xml"/><Relationship Id="rId19" Type="http://schemas.openxmlformats.org/officeDocument/2006/relationships/image" Target="../media/image23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Relationship Id="rId14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V39"/>
  <sheetViews>
    <sheetView showGridLines="0" zoomScale="106" zoomScaleNormal="106" workbookViewId="0">
      <selection activeCell="D18" sqref="D18"/>
    </sheetView>
  </sheetViews>
  <sheetFormatPr defaultRowHeight="14.25" x14ac:dyDescent="0.2"/>
  <cols>
    <col min="1" max="1" width="13" style="32" customWidth="1"/>
    <col min="2" max="2" width="11.5" style="32" bestFit="1" customWidth="1"/>
    <col min="3" max="3" width="12" style="32" bestFit="1" customWidth="1"/>
    <col min="4" max="5" width="9" style="32"/>
    <col min="6" max="6" width="18.125" style="32" customWidth="1"/>
    <col min="7" max="7" width="11.375" style="32" bestFit="1" customWidth="1"/>
    <col min="8" max="8" width="12.5" style="32" bestFit="1" customWidth="1"/>
    <col min="9" max="9" width="10.75" style="32" bestFit="1" customWidth="1"/>
    <col min="10" max="16384" width="9" style="32"/>
  </cols>
  <sheetData>
    <row r="1" spans="1:22" ht="14.25" customHeight="1" x14ac:dyDescent="0.2">
      <c r="A1" s="52" t="s">
        <v>88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</row>
    <row r="2" spans="1:22" x14ac:dyDescent="0.2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</row>
    <row r="9" spans="1:22" ht="15" x14ac:dyDescent="0.2">
      <c r="A9" s="46" t="s">
        <v>62</v>
      </c>
      <c r="B9" s="33"/>
      <c r="C9" s="33"/>
      <c r="D9" s="33"/>
      <c r="E9" s="33"/>
      <c r="F9" s="46" t="s">
        <v>70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</row>
    <row r="10" spans="1:22" ht="15" x14ac:dyDescent="0.25">
      <c r="A10" s="47" t="s">
        <v>63</v>
      </c>
      <c r="B10" s="47"/>
      <c r="C10" s="34"/>
      <c r="D10" s="34"/>
      <c r="E10" s="33"/>
      <c r="F10" s="47" t="s">
        <v>63</v>
      </c>
      <c r="G10" s="47" t="s">
        <v>39</v>
      </c>
      <c r="H10" s="47" t="s">
        <v>40</v>
      </c>
      <c r="I10" s="47" t="s">
        <v>75</v>
      </c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</row>
    <row r="11" spans="1:22" ht="15" x14ac:dyDescent="0.2">
      <c r="A11" s="33"/>
      <c r="B11" s="42">
        <f>SUM(B13:C13)</f>
        <v>2</v>
      </c>
      <c r="E11" s="33"/>
      <c r="F11" s="33"/>
      <c r="G11" s="43">
        <f>SUM(Finance!H:H)</f>
        <v>15</v>
      </c>
      <c r="H11" s="43">
        <f>SUM(Finance!I:I)</f>
        <v>7.21</v>
      </c>
      <c r="I11" s="44">
        <f>G11-H11</f>
        <v>7.79</v>
      </c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</row>
    <row r="12" spans="1:22" x14ac:dyDescent="0.2">
      <c r="A12" s="47" t="s">
        <v>67</v>
      </c>
      <c r="B12" s="47" t="s">
        <v>64</v>
      </c>
      <c r="C12" s="47" t="s">
        <v>65</v>
      </c>
      <c r="D12" s="31"/>
      <c r="E12" s="33"/>
      <c r="F12" s="47" t="s">
        <v>71</v>
      </c>
      <c r="G12" s="47" t="s">
        <v>39</v>
      </c>
      <c r="H12" s="47" t="s">
        <v>40</v>
      </c>
      <c r="I12" s="47" t="s">
        <v>75</v>
      </c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</row>
    <row r="13" spans="1:22" ht="15" x14ac:dyDescent="0.2">
      <c r="A13" s="33"/>
      <c r="B13" s="42">
        <f>COUNTIF(Members!H:H, "=M")</f>
        <v>1</v>
      </c>
      <c r="C13" s="42">
        <f>COUNTIF(Members!H:H, "=F")</f>
        <v>1</v>
      </c>
      <c r="D13" s="33"/>
      <c r="E13" s="33"/>
      <c r="F13" s="33"/>
      <c r="G13" s="43">
        <f>SUMIF(Finance!D:D, "=ADMIN", Finance!H:H)</f>
        <v>15</v>
      </c>
      <c r="H13" s="43">
        <f>SUMIF(Finance!D:D, "=ADMIN", Finance!I:I)</f>
        <v>1.25</v>
      </c>
      <c r="I13" s="44">
        <f>G13-H13</f>
        <v>13.75</v>
      </c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</row>
    <row r="14" spans="1:22" x14ac:dyDescent="0.2">
      <c r="A14" s="47" t="s">
        <v>61</v>
      </c>
      <c r="B14" s="47" t="s">
        <v>66</v>
      </c>
      <c r="C14" s="47" t="s">
        <v>68</v>
      </c>
      <c r="D14" s="47" t="s">
        <v>69</v>
      </c>
      <c r="E14" s="33"/>
      <c r="F14" s="47" t="s">
        <v>72</v>
      </c>
      <c r="G14" s="47" t="s">
        <v>39</v>
      </c>
      <c r="H14" s="47" t="s">
        <v>40</v>
      </c>
      <c r="I14" s="47" t="s">
        <v>75</v>
      </c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ht="15" x14ac:dyDescent="0.2">
      <c r="A15" s="33"/>
      <c r="B15" s="42">
        <f>COUNTIF(Members!M:M, "=1")</f>
        <v>0</v>
      </c>
      <c r="C15" s="42">
        <f>COUNTIF(Members!M:M, "=2")</f>
        <v>1</v>
      </c>
      <c r="D15" s="42">
        <f>COUNTIF(Members!M:M, "=3")</f>
        <v>1</v>
      </c>
      <c r="E15" s="33"/>
      <c r="F15" s="33"/>
      <c r="G15" s="43">
        <f>SUMIF(Finance!D:D, "=VERS", Finance!H:H)</f>
        <v>0</v>
      </c>
      <c r="H15" s="43">
        <f>SUMIF(Finance!D:D, "=VERS", Finance!I:I)</f>
        <v>5.96</v>
      </c>
      <c r="I15" s="44">
        <f>G15-H15</f>
        <v>-5.96</v>
      </c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x14ac:dyDescent="0.2">
      <c r="A16" s="47" t="s">
        <v>57</v>
      </c>
      <c r="B16" s="48">
        <v>15</v>
      </c>
      <c r="C16" s="48">
        <v>12</v>
      </c>
      <c r="D16" s="50"/>
      <c r="E16" s="33"/>
      <c r="F16" s="47" t="s">
        <v>73</v>
      </c>
      <c r="G16" s="47" t="s">
        <v>39</v>
      </c>
      <c r="H16" s="47" t="s">
        <v>40</v>
      </c>
      <c r="I16" s="47" t="s">
        <v>75</v>
      </c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</row>
    <row r="17" spans="1:22" ht="15" x14ac:dyDescent="0.2">
      <c r="A17" s="33"/>
      <c r="B17" s="42">
        <f>COUNTIF(Members!N:N, "=15")</f>
        <v>1</v>
      </c>
      <c r="C17" s="42">
        <f>COUNTIF(Members!N:N, "=12")</f>
        <v>1</v>
      </c>
      <c r="D17" s="51"/>
      <c r="E17" s="33"/>
      <c r="F17" s="33"/>
      <c r="G17" s="43">
        <f>SUMIF(Finance!D:D, "=SOWE", Finance!H:H)</f>
        <v>0</v>
      </c>
      <c r="H17" s="43">
        <f>SUMIF(Finance!D:D, "=AE-SOWE", Finance!I:I)</f>
        <v>0</v>
      </c>
      <c r="I17" s="44">
        <f>G17-H17</f>
        <v>0</v>
      </c>
      <c r="J17" s="45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 x14ac:dyDescent="0.2">
      <c r="A18" s="47" t="s">
        <v>59</v>
      </c>
      <c r="B18" s="48" t="s">
        <v>76</v>
      </c>
      <c r="C18" s="48" t="s">
        <v>77</v>
      </c>
      <c r="D18" s="31"/>
      <c r="E18" s="33"/>
      <c r="F18" s="47" t="s">
        <v>74</v>
      </c>
      <c r="G18" s="47" t="s">
        <v>39</v>
      </c>
      <c r="H18" s="47" t="s">
        <v>40</v>
      </c>
      <c r="I18" s="47" t="s">
        <v>75</v>
      </c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 ht="15" x14ac:dyDescent="0.2">
      <c r="A19" s="33"/>
      <c r="B19" s="42">
        <f>COUNTIF(Members!O:O, "=1")</f>
        <v>1</v>
      </c>
      <c r="C19" s="42">
        <f>COUNTIF(Members!O:O, "=0")</f>
        <v>1</v>
      </c>
      <c r="D19" s="33"/>
      <c r="E19" s="33"/>
      <c r="F19" s="33"/>
      <c r="G19" s="43">
        <f>SUMIF(Finance!D:D, "=CAMP", Finance!H:H)</f>
        <v>0</v>
      </c>
      <c r="H19" s="43">
        <f>SUMIF(Finance!D:D, "=CAMP", Finance!I:I)</f>
        <v>0</v>
      </c>
      <c r="I19" s="44">
        <f>G19-H19</f>
        <v>0</v>
      </c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x14ac:dyDescent="0.2"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</row>
    <row r="21" spans="1:22" x14ac:dyDescent="0.2"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x14ac:dyDescent="0.2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</row>
    <row r="23" spans="1:22" x14ac:dyDescent="0.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x14ac:dyDescent="0.2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</row>
    <row r="25" spans="1:22" x14ac:dyDescent="0.2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2">
      <c r="A26" s="33"/>
      <c r="B26" s="33"/>
      <c r="C26" s="33"/>
      <c r="D26" s="33"/>
      <c r="E26" s="45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</row>
    <row r="27" spans="1:22" x14ac:dyDescent="0.2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</row>
    <row r="28" spans="1:22" x14ac:dyDescent="0.2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</row>
    <row r="29" spans="1:22" x14ac:dyDescent="0.2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</row>
    <row r="30" spans="1:22" x14ac:dyDescent="0.2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2" x14ac:dyDescent="0.2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</row>
    <row r="32" spans="1:22" x14ac:dyDescent="0.2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</row>
    <row r="33" spans="1:22" x14ac:dyDescent="0.2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</row>
    <row r="34" spans="1:22" x14ac:dyDescent="0.2">
      <c r="A34" s="35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</row>
    <row r="35" spans="1:22" x14ac:dyDescent="0.2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</row>
    <row r="36" spans="1:22" x14ac:dyDescent="0.2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2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</row>
    <row r="38" spans="1:22" x14ac:dyDescent="0.2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</row>
    <row r="39" spans="1:22" x14ac:dyDescent="0.2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</row>
  </sheetData>
  <mergeCells count="1">
    <mergeCell ref="A1:L2"/>
  </mergeCells>
  <conditionalFormatting sqref="I11">
    <cfRule type="iconSet" priority="3">
      <iconSet>
        <cfvo type="percent" val="0"/>
        <cfvo type="percent" val="33"/>
        <cfvo type="percent" val="67"/>
      </iconSet>
    </cfRule>
  </conditionalFormatting>
  <conditionalFormatting sqref="I13 I15 I17 I19">
    <cfRule type="iconSet" priority="2">
      <iconSet>
        <cfvo type="percent" val="0"/>
        <cfvo type="percent" val="33"/>
        <cfvo type="percent" val="67"/>
      </iconSet>
    </cfRule>
  </conditionalFormatting>
  <conditionalFormatting sqref="I11 I13 I15 I17 I19">
    <cfRule type="iconSet" priority="1">
      <iconSet>
        <cfvo type="percent" val="0"/>
        <cfvo type="num" val="0"/>
        <cfvo type="num" val="1"/>
      </iconSet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4098" r:id="rId4" name="btnHome2Home">
          <controlPr defaultSize="0" autoLine="0" r:id="rId5">
            <anchor moveWithCells="1">
              <from>
                <xdr:col>3</xdr:col>
                <xdr:colOff>628650</xdr:colOff>
                <xdr:row>5</xdr:row>
                <xdr:rowOff>9525</xdr:rowOff>
              </from>
              <to>
                <xdr:col>5</xdr:col>
                <xdr:colOff>180975</xdr:colOff>
                <xdr:row>6</xdr:row>
                <xdr:rowOff>95250</xdr:rowOff>
              </to>
            </anchor>
          </controlPr>
        </control>
      </mc:Choice>
      <mc:Fallback>
        <control shapeId="4098" r:id="rId4" name="btnHome2Home"/>
      </mc:Fallback>
    </mc:AlternateContent>
    <mc:AlternateContent xmlns:mc="http://schemas.openxmlformats.org/markup-compatibility/2006">
      <mc:Choice Requires="x14">
        <control shapeId="4099" r:id="rId6" name="btnHom2Members">
          <controlPr defaultSize="0" autoLine="0" r:id="rId7">
            <anchor moveWithCells="1">
              <from>
                <xdr:col>5</xdr:col>
                <xdr:colOff>323850</xdr:colOff>
                <xdr:row>5</xdr:row>
                <xdr:rowOff>9525</xdr:rowOff>
              </from>
              <to>
                <xdr:col>5</xdr:col>
                <xdr:colOff>1228725</xdr:colOff>
                <xdr:row>6</xdr:row>
                <xdr:rowOff>95250</xdr:rowOff>
              </to>
            </anchor>
          </controlPr>
        </control>
      </mc:Choice>
      <mc:Fallback>
        <control shapeId="4099" r:id="rId6" name="btnHom2Members"/>
      </mc:Fallback>
    </mc:AlternateContent>
    <mc:AlternateContent xmlns:mc="http://schemas.openxmlformats.org/markup-compatibility/2006">
      <mc:Choice Requires="x14">
        <control shapeId="4100" r:id="rId8" name="btnHome2Finance">
          <controlPr defaultSize="0" autoLine="0" r:id="rId9">
            <anchor moveWithCells="1">
              <from>
                <xdr:col>5</xdr:col>
                <xdr:colOff>1352550</xdr:colOff>
                <xdr:row>5</xdr:row>
                <xdr:rowOff>9525</xdr:rowOff>
              </from>
              <to>
                <xdr:col>7</xdr:col>
                <xdr:colOff>19050</xdr:colOff>
                <xdr:row>6</xdr:row>
                <xdr:rowOff>95250</xdr:rowOff>
              </to>
            </anchor>
          </controlPr>
        </control>
      </mc:Choice>
      <mc:Fallback>
        <control shapeId="4100" r:id="rId8" name="btnHome2Financ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27"/>
  <sheetViews>
    <sheetView showGridLines="0" zoomScale="106" zoomScaleNormal="106" workbookViewId="0">
      <selection activeCell="J12" sqref="J12"/>
    </sheetView>
  </sheetViews>
  <sheetFormatPr defaultRowHeight="14.25" x14ac:dyDescent="0.2"/>
  <cols>
    <col min="1" max="1" width="12.125" bestFit="1" customWidth="1"/>
    <col min="2" max="2" width="12.875" bestFit="1" customWidth="1"/>
    <col min="3" max="3" width="6.625" bestFit="1" customWidth="1"/>
    <col min="4" max="4" width="19" bestFit="1" customWidth="1"/>
    <col min="5" max="5" width="8.5" bestFit="1" customWidth="1"/>
    <col min="6" max="6" width="13.625" bestFit="1" customWidth="1"/>
    <col min="7" max="7" width="16.25" bestFit="1" customWidth="1"/>
    <col min="8" max="8" width="8.875" style="18" bestFit="1" customWidth="1"/>
    <col min="9" max="9" width="8.625" style="18" bestFit="1" customWidth="1"/>
    <col min="10" max="10" width="14.5" customWidth="1"/>
    <col min="11" max="11" width="13.25" bestFit="1" customWidth="1"/>
    <col min="12" max="12" width="28.375" bestFit="1" customWidth="1"/>
    <col min="13" max="13" width="8.5" bestFit="1" customWidth="1"/>
    <col min="14" max="14" width="14.625" bestFit="1" customWidth="1"/>
    <col min="15" max="15" width="2.5" customWidth="1"/>
  </cols>
  <sheetData>
    <row r="1" spans="1:15" x14ac:dyDescent="0.2">
      <c r="A1" s="52" t="s">
        <v>88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</row>
    <row r="2" spans="1:15" x14ac:dyDescent="0.2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</row>
    <row r="7" spans="1:15" ht="17.25" customHeight="1" x14ac:dyDescent="0.2"/>
    <row r="8" spans="1:15" x14ac:dyDescent="0.2">
      <c r="A8" s="3" t="s">
        <v>43</v>
      </c>
      <c r="B8" s="3" t="s">
        <v>44</v>
      </c>
      <c r="C8" s="3" t="s">
        <v>52</v>
      </c>
      <c r="D8" s="3" t="s">
        <v>45</v>
      </c>
      <c r="E8" s="3" t="s">
        <v>53</v>
      </c>
      <c r="F8" s="3" t="s">
        <v>46</v>
      </c>
      <c r="G8" s="3" t="s">
        <v>82</v>
      </c>
      <c r="H8" s="18" t="s">
        <v>54</v>
      </c>
      <c r="I8" s="18" t="s">
        <v>55</v>
      </c>
      <c r="J8" s="3" t="s">
        <v>47</v>
      </c>
      <c r="K8" s="3" t="s">
        <v>56</v>
      </c>
      <c r="L8" s="3" t="s">
        <v>48</v>
      </c>
      <c r="M8" s="3" t="s">
        <v>61</v>
      </c>
      <c r="N8" s="10" t="s">
        <v>57</v>
      </c>
      <c r="O8" s="9" t="s">
        <v>60</v>
      </c>
    </row>
    <row r="9" spans="1:15" x14ac:dyDescent="0.2">
      <c r="A9" s="37" t="s">
        <v>102</v>
      </c>
      <c r="B9" s="37" t="s">
        <v>103</v>
      </c>
      <c r="C9" s="13">
        <v>1</v>
      </c>
      <c r="D9" s="38" t="s">
        <v>98</v>
      </c>
      <c r="E9" s="37" t="s">
        <v>99</v>
      </c>
      <c r="F9" s="37" t="s">
        <v>110</v>
      </c>
      <c r="G9" s="14">
        <v>38114</v>
      </c>
      <c r="H9" s="39" t="s">
        <v>51</v>
      </c>
      <c r="I9" s="17" t="s">
        <v>50</v>
      </c>
      <c r="J9" s="40" t="s">
        <v>100</v>
      </c>
      <c r="K9" s="40" t="s">
        <v>101</v>
      </c>
      <c r="L9" s="41" t="s">
        <v>109</v>
      </c>
      <c r="M9" s="17">
        <v>3</v>
      </c>
      <c r="N9" s="12">
        <v>12</v>
      </c>
      <c r="O9" s="8">
        <v>0</v>
      </c>
    </row>
    <row r="10" spans="1:15" x14ac:dyDescent="0.2">
      <c r="A10" s="37" t="s">
        <v>104</v>
      </c>
      <c r="B10" s="37" t="s">
        <v>105</v>
      </c>
      <c r="C10" s="13">
        <v>2</v>
      </c>
      <c r="D10" s="38" t="s">
        <v>98</v>
      </c>
      <c r="E10" s="37" t="s">
        <v>99</v>
      </c>
      <c r="F10" s="37" t="s">
        <v>110</v>
      </c>
      <c r="G10" s="14">
        <v>38359</v>
      </c>
      <c r="H10" s="39" t="s">
        <v>49</v>
      </c>
      <c r="I10" s="39" t="s">
        <v>106</v>
      </c>
      <c r="J10" s="40" t="s">
        <v>107</v>
      </c>
      <c r="K10" s="40" t="s">
        <v>108</v>
      </c>
      <c r="L10" s="41" t="s">
        <v>114</v>
      </c>
      <c r="M10" s="17">
        <v>2</v>
      </c>
      <c r="N10" s="12">
        <v>15</v>
      </c>
      <c r="O10" s="8">
        <v>1</v>
      </c>
    </row>
    <row r="11" spans="1:15" x14ac:dyDescent="0.2">
      <c r="A11" s="58"/>
      <c r="B11" s="58"/>
      <c r="C11" s="59"/>
      <c r="D11" s="60"/>
      <c r="E11" s="58"/>
      <c r="F11" s="58"/>
      <c r="G11" s="61"/>
      <c r="H11" s="62"/>
      <c r="I11" s="62"/>
      <c r="J11" s="59"/>
      <c r="K11" s="59"/>
      <c r="L11" s="58"/>
      <c r="M11" s="62"/>
      <c r="N11" s="63"/>
      <c r="O11" s="57"/>
    </row>
    <row r="12" spans="1:15" x14ac:dyDescent="0.2">
      <c r="A12" s="15"/>
      <c r="B12" s="15"/>
      <c r="C12" s="13"/>
      <c r="D12" s="16"/>
      <c r="E12" s="15"/>
      <c r="F12" s="15"/>
      <c r="G12" s="14"/>
      <c r="H12" s="17"/>
      <c r="I12" s="17"/>
      <c r="J12" s="21"/>
      <c r="K12" s="13"/>
      <c r="L12" s="15"/>
      <c r="M12" s="17"/>
      <c r="N12" s="12"/>
      <c r="O12" s="8"/>
    </row>
    <row r="13" spans="1:15" x14ac:dyDescent="0.2">
      <c r="A13" s="15"/>
      <c r="B13" s="15"/>
      <c r="C13" s="13"/>
      <c r="D13" s="16"/>
      <c r="E13" s="15"/>
      <c r="F13" s="15"/>
      <c r="G13" s="14"/>
      <c r="H13" s="17"/>
      <c r="I13" s="17"/>
      <c r="J13" s="21"/>
      <c r="K13" s="13"/>
      <c r="L13" s="15"/>
      <c r="M13" s="17"/>
      <c r="N13" s="12"/>
      <c r="O13" s="8"/>
    </row>
    <row r="27" spans="1:1" x14ac:dyDescent="0.2">
      <c r="A27" s="3"/>
    </row>
  </sheetData>
  <mergeCells count="1">
    <mergeCell ref="A1:O2"/>
  </mergeCells>
  <conditionalFormatting sqref="O9:O10">
    <cfRule type="iconSet" priority="2">
      <iconSet iconSet="3Symbols">
        <cfvo type="percent" val="0"/>
        <cfvo type="percent" val="33"/>
        <cfvo type="percent" val="67"/>
      </iconSet>
    </cfRule>
  </conditionalFormatting>
  <hyperlinks>
    <hyperlink ref="L9" r:id="rId1" xr:uid="{27B3E39E-08BB-4190-9B2A-5A41337E130E}"/>
    <hyperlink ref="L10" r:id="rId2" xr:uid="{F25774C0-6EA4-42B7-BD16-E28385C0CEF5}"/>
  </hyperlinks>
  <pageMargins left="0.7" right="0.7" top="0.75" bottom="0.75" header="0.3" footer="0.3"/>
  <pageSetup paperSize="9" orientation="portrait" horizontalDpi="4294967293" verticalDpi="4294967293" r:id="rId3"/>
  <drawing r:id="rId4"/>
  <legacyDrawing r:id="rId5"/>
  <controls>
    <mc:AlternateContent xmlns:mc="http://schemas.openxmlformats.org/markup-compatibility/2006">
      <mc:Choice Requires="x14">
        <control shapeId="5121" r:id="rId6" name="btnMembers2Home">
          <controlPr defaultSize="0" autoLine="0" r:id="rId7">
            <anchor moveWithCells="1">
              <from>
                <xdr:col>3</xdr:col>
                <xdr:colOff>1009650</xdr:colOff>
                <xdr:row>5</xdr:row>
                <xdr:rowOff>0</xdr:rowOff>
              </from>
              <to>
                <xdr:col>4</xdr:col>
                <xdr:colOff>476250</xdr:colOff>
                <xdr:row>6</xdr:row>
                <xdr:rowOff>85725</xdr:rowOff>
              </to>
            </anchor>
          </controlPr>
        </control>
      </mc:Choice>
      <mc:Fallback>
        <control shapeId="5121" r:id="rId6" name="btnMembers2Home"/>
      </mc:Fallback>
    </mc:AlternateContent>
    <mc:AlternateContent xmlns:mc="http://schemas.openxmlformats.org/markup-compatibility/2006">
      <mc:Choice Requires="x14">
        <control shapeId="5122" r:id="rId8" name="btnMembers2Members">
          <controlPr defaultSize="0" autoLine="0" r:id="rId9">
            <anchor moveWithCells="1">
              <from>
                <xdr:col>4</xdr:col>
                <xdr:colOff>600075</xdr:colOff>
                <xdr:row>5</xdr:row>
                <xdr:rowOff>0</xdr:rowOff>
              </from>
              <to>
                <xdr:col>5</xdr:col>
                <xdr:colOff>866775</xdr:colOff>
                <xdr:row>6</xdr:row>
                <xdr:rowOff>85725</xdr:rowOff>
              </to>
            </anchor>
          </controlPr>
        </control>
      </mc:Choice>
      <mc:Fallback>
        <control shapeId="5122" r:id="rId8" name="btnMembers2Members"/>
      </mc:Fallback>
    </mc:AlternateContent>
    <mc:AlternateContent xmlns:mc="http://schemas.openxmlformats.org/markup-compatibility/2006">
      <mc:Choice Requires="x14">
        <control shapeId="5123" r:id="rId10" name="btnMembers2Finance">
          <controlPr defaultSize="0" autoLine="0" r:id="rId11">
            <anchor moveWithCells="1">
              <from>
                <xdr:col>6</xdr:col>
                <xdr:colOff>28575</xdr:colOff>
                <xdr:row>5</xdr:row>
                <xdr:rowOff>0</xdr:rowOff>
              </from>
              <to>
                <xdr:col>6</xdr:col>
                <xdr:colOff>942975</xdr:colOff>
                <xdr:row>6</xdr:row>
                <xdr:rowOff>85725</xdr:rowOff>
              </to>
            </anchor>
          </controlPr>
        </control>
      </mc:Choice>
      <mc:Fallback>
        <control shapeId="5123" r:id="rId10" name="btnMembers2Finance"/>
      </mc:Fallback>
    </mc:AlternateContent>
    <mc:AlternateContent xmlns:mc="http://schemas.openxmlformats.org/markup-compatibility/2006">
      <mc:Choice Requires="x14">
        <control shapeId="5124" r:id="rId12" name="btnNewMember">
          <controlPr defaultSize="0" autoLine="0" r:id="rId13">
            <anchor moveWithCells="1">
              <from>
                <xdr:col>7</xdr:col>
                <xdr:colOff>171450</xdr:colOff>
                <xdr:row>4</xdr:row>
                <xdr:rowOff>161925</xdr:rowOff>
              </from>
              <to>
                <xdr:col>8</xdr:col>
                <xdr:colOff>409575</xdr:colOff>
                <xdr:row>6</xdr:row>
                <xdr:rowOff>66675</xdr:rowOff>
              </to>
            </anchor>
          </controlPr>
        </control>
      </mc:Choice>
      <mc:Fallback>
        <control shapeId="5124" r:id="rId12" name="btnNewMember"/>
      </mc:Fallback>
    </mc:AlternateContent>
    <mc:AlternateContent xmlns:mc="http://schemas.openxmlformats.org/markup-compatibility/2006">
      <mc:Choice Requires="x14">
        <control shapeId="5125" r:id="rId14" name="btnFindMember">
          <controlPr defaultSize="0" autoLine="0" r:id="rId15">
            <anchor moveWithCells="1">
              <from>
                <xdr:col>8</xdr:col>
                <xdr:colOff>571500</xdr:colOff>
                <xdr:row>4</xdr:row>
                <xdr:rowOff>152400</xdr:rowOff>
              </from>
              <to>
                <xdr:col>9</xdr:col>
                <xdr:colOff>838200</xdr:colOff>
                <xdr:row>6</xdr:row>
                <xdr:rowOff>57150</xdr:rowOff>
              </to>
            </anchor>
          </controlPr>
        </control>
      </mc:Choice>
      <mc:Fallback>
        <control shapeId="5125" r:id="rId14" name="btnFindMember"/>
      </mc:Fallback>
    </mc:AlternateContent>
  </controls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16"/>
  <sheetViews>
    <sheetView showGridLines="0" zoomScale="106" zoomScaleNormal="106" workbookViewId="0">
      <selection activeCell="E19" sqref="E19"/>
    </sheetView>
  </sheetViews>
  <sheetFormatPr defaultRowHeight="14.25" x14ac:dyDescent="0.2"/>
  <cols>
    <col min="1" max="1" width="5" style="22" customWidth="1"/>
    <col min="2" max="2" width="15.625" style="22" customWidth="1"/>
    <col min="3" max="3" width="14.5" style="22" bestFit="1" customWidth="1"/>
    <col min="4" max="4" width="15.5" style="22" customWidth="1"/>
    <col min="5" max="5" width="42" style="22" bestFit="1" customWidth="1"/>
    <col min="6" max="6" width="12.875" style="22" bestFit="1" customWidth="1"/>
    <col min="7" max="7" width="36.375" style="22" bestFit="1" customWidth="1"/>
    <col min="8" max="8" width="11.25" style="22" customWidth="1"/>
    <col min="9" max="9" width="12.25" style="22" customWidth="1"/>
    <col min="10" max="16384" width="9" style="22"/>
  </cols>
  <sheetData>
    <row r="1" spans="1:10" x14ac:dyDescent="0.2">
      <c r="A1" s="54" t="s">
        <v>87</v>
      </c>
      <c r="B1" s="55"/>
      <c r="C1" s="55"/>
      <c r="D1" s="55"/>
      <c r="E1" s="55"/>
      <c r="F1" s="55"/>
      <c r="G1" s="55"/>
      <c r="H1" s="55"/>
      <c r="I1" s="55"/>
    </row>
    <row r="2" spans="1:10" x14ac:dyDescent="0.2">
      <c r="A2" s="55"/>
      <c r="B2" s="55"/>
      <c r="C2" s="55"/>
      <c r="D2" s="55"/>
      <c r="E2" s="55"/>
      <c r="F2" s="55"/>
      <c r="G2" s="55"/>
      <c r="H2" s="55"/>
      <c r="I2" s="55"/>
    </row>
    <row r="4" spans="1:10" x14ac:dyDescent="0.2">
      <c r="E4" s="23"/>
    </row>
    <row r="8" spans="1:10" x14ac:dyDescent="0.2">
      <c r="A8" s="22" t="s">
        <v>9</v>
      </c>
      <c r="B8" s="24" t="s">
        <v>7</v>
      </c>
      <c r="C8" s="35" t="s">
        <v>94</v>
      </c>
      <c r="D8" s="35" t="s">
        <v>93</v>
      </c>
      <c r="E8" s="24" t="s">
        <v>41</v>
      </c>
      <c r="F8" s="24" t="s">
        <v>42</v>
      </c>
      <c r="G8" s="24" t="s">
        <v>8</v>
      </c>
      <c r="H8" s="24" t="s">
        <v>39</v>
      </c>
      <c r="I8" s="24" t="s">
        <v>40</v>
      </c>
      <c r="J8" s="24"/>
    </row>
    <row r="9" spans="1:10" x14ac:dyDescent="0.2">
      <c r="A9" s="30" t="s">
        <v>89</v>
      </c>
      <c r="B9" s="26">
        <v>43361</v>
      </c>
      <c r="C9" s="30" t="s">
        <v>72</v>
      </c>
      <c r="D9" s="7" t="s">
        <v>129</v>
      </c>
      <c r="E9" s="25" t="s">
        <v>83</v>
      </c>
      <c r="F9" s="25" t="s">
        <v>58</v>
      </c>
      <c r="G9" s="25" t="s">
        <v>84</v>
      </c>
      <c r="H9" s="27"/>
      <c r="I9" s="27">
        <v>5.96</v>
      </c>
    </row>
    <row r="10" spans="1:10" x14ac:dyDescent="0.2">
      <c r="A10" s="30" t="s">
        <v>90</v>
      </c>
      <c r="B10" s="28">
        <v>43344</v>
      </c>
      <c r="C10" s="30" t="s">
        <v>91</v>
      </c>
      <c r="D10" s="11" t="s">
        <v>128</v>
      </c>
      <c r="E10" s="25" t="s">
        <v>85</v>
      </c>
      <c r="F10" s="25" t="s">
        <v>58</v>
      </c>
      <c r="G10" s="30" t="s">
        <v>86</v>
      </c>
      <c r="H10" s="29"/>
      <c r="I10" s="29">
        <v>1.25</v>
      </c>
    </row>
    <row r="11" spans="1:10" x14ac:dyDescent="0.2">
      <c r="A11" s="30" t="s">
        <v>117</v>
      </c>
      <c r="B11" s="28" t="s">
        <v>115</v>
      </c>
      <c r="C11" s="30" t="s">
        <v>91</v>
      </c>
      <c r="D11" s="11" t="s">
        <v>128</v>
      </c>
      <c r="E11" s="25" t="s">
        <v>38</v>
      </c>
      <c r="F11" s="25" t="s">
        <v>58</v>
      </c>
      <c r="G11" s="30" t="s">
        <v>116</v>
      </c>
      <c r="H11" s="29">
        <v>15</v>
      </c>
      <c r="I11" s="29"/>
    </row>
    <row r="12" spans="1:10" x14ac:dyDescent="0.2">
      <c r="A12" s="30"/>
      <c r="B12" s="28"/>
      <c r="C12" s="30"/>
      <c r="D12" s="11"/>
      <c r="E12" s="25"/>
      <c r="F12" s="25"/>
      <c r="G12" s="25"/>
      <c r="H12" s="29"/>
      <c r="I12" s="29"/>
    </row>
    <row r="13" spans="1:10" x14ac:dyDescent="0.2">
      <c r="A13" s="30"/>
      <c r="B13" s="28"/>
      <c r="C13" s="30"/>
      <c r="D13" s="11"/>
      <c r="E13" s="25"/>
      <c r="F13" s="25"/>
      <c r="G13" s="30"/>
      <c r="H13" s="29"/>
      <c r="I13" s="29"/>
    </row>
    <row r="14" spans="1:10" x14ac:dyDescent="0.2">
      <c r="A14" s="30"/>
      <c r="B14" s="28"/>
      <c r="C14" s="30"/>
      <c r="D14" s="11"/>
      <c r="E14" s="25"/>
      <c r="F14" s="25"/>
      <c r="G14" s="25"/>
      <c r="H14" s="29"/>
      <c r="I14" s="29"/>
    </row>
    <row r="15" spans="1:10" x14ac:dyDescent="0.2">
      <c r="A15" s="30"/>
      <c r="B15" s="28"/>
      <c r="C15" s="30"/>
      <c r="D15" s="11"/>
      <c r="E15" s="25"/>
      <c r="F15" s="25"/>
      <c r="G15" s="25"/>
      <c r="H15" s="29"/>
      <c r="I15" s="29"/>
    </row>
    <row r="16" spans="1:10" x14ac:dyDescent="0.2">
      <c r="A16" s="30"/>
      <c r="B16" s="28"/>
      <c r="C16" s="30"/>
      <c r="D16" s="7"/>
      <c r="E16" s="25"/>
      <c r="F16" s="25"/>
      <c r="G16" s="30"/>
      <c r="H16" s="29"/>
      <c r="I16" s="29"/>
    </row>
    <row r="17" spans="1:9" x14ac:dyDescent="0.2">
      <c r="A17" s="30"/>
      <c r="B17" s="28"/>
      <c r="C17" s="30"/>
      <c r="D17" s="7"/>
      <c r="E17" s="25"/>
      <c r="F17" s="25"/>
      <c r="G17" s="25"/>
      <c r="H17" s="29"/>
      <c r="I17" s="29"/>
    </row>
    <row r="18" spans="1:9" x14ac:dyDescent="0.2">
      <c r="A18" s="30"/>
      <c r="B18" s="28"/>
      <c r="C18" s="30"/>
      <c r="D18" s="11"/>
      <c r="E18" s="25"/>
      <c r="F18" s="25"/>
      <c r="G18" s="30"/>
      <c r="H18" s="29"/>
      <c r="I18" s="29"/>
    </row>
    <row r="19" spans="1:9" x14ac:dyDescent="0.2">
      <c r="A19" s="30"/>
      <c r="B19" s="28"/>
      <c r="C19" s="30"/>
      <c r="D19" s="11"/>
      <c r="E19" s="25"/>
      <c r="F19" s="25"/>
      <c r="G19" s="25"/>
      <c r="H19" s="29"/>
      <c r="I19" s="29"/>
    </row>
    <row r="20" spans="1:9" x14ac:dyDescent="0.2">
      <c r="A20" s="30"/>
      <c r="B20" s="28"/>
      <c r="C20" s="30"/>
      <c r="D20" s="7"/>
      <c r="E20" s="25"/>
      <c r="F20" s="25"/>
      <c r="G20" s="25"/>
      <c r="H20" s="29"/>
      <c r="I20" s="29"/>
    </row>
    <row r="21" spans="1:9" x14ac:dyDescent="0.2">
      <c r="A21" s="25"/>
      <c r="B21" s="28"/>
      <c r="C21" s="25"/>
      <c r="D21" s="11"/>
      <c r="E21" s="25"/>
      <c r="F21" s="25"/>
      <c r="G21" s="30"/>
      <c r="H21" s="29"/>
      <c r="I21" s="29"/>
    </row>
    <row r="22" spans="1:9" x14ac:dyDescent="0.2">
      <c r="A22" s="25"/>
      <c r="B22" s="28"/>
      <c r="C22" s="25"/>
      <c r="D22" s="11"/>
      <c r="E22" s="25"/>
      <c r="F22" s="25"/>
      <c r="G22" s="25"/>
      <c r="H22" s="29"/>
      <c r="I22" s="29"/>
    </row>
    <row r="23" spans="1:9" x14ac:dyDescent="0.2">
      <c r="A23" s="25"/>
      <c r="B23" s="28"/>
      <c r="C23" s="25"/>
      <c r="D23" s="11"/>
      <c r="E23" s="25"/>
      <c r="F23" s="25"/>
      <c r="G23" s="25"/>
      <c r="H23" s="29"/>
      <c r="I23" s="29"/>
    </row>
    <row r="24" spans="1:9" x14ac:dyDescent="0.2">
      <c r="A24" s="25"/>
      <c r="B24" s="28"/>
      <c r="C24" s="25"/>
      <c r="D24" s="25"/>
      <c r="E24" s="25"/>
      <c r="F24" s="25"/>
      <c r="G24" s="30"/>
      <c r="H24" s="29"/>
      <c r="I24" s="29"/>
    </row>
    <row r="25" spans="1:9" x14ac:dyDescent="0.2">
      <c r="A25" s="25"/>
      <c r="B25" s="28"/>
      <c r="C25" s="25"/>
      <c r="D25" s="25"/>
      <c r="E25" s="25"/>
      <c r="F25" s="25"/>
      <c r="G25" s="25"/>
      <c r="H25" s="29"/>
      <c r="I25" s="29"/>
    </row>
    <row r="26" spans="1:9" x14ac:dyDescent="0.2">
      <c r="A26" s="25"/>
      <c r="B26" s="28"/>
      <c r="C26" s="25"/>
      <c r="D26" s="25"/>
      <c r="E26" s="25"/>
      <c r="F26" s="25"/>
      <c r="G26" s="25"/>
      <c r="H26" s="29"/>
      <c r="I26" s="29"/>
    </row>
    <row r="27" spans="1:9" x14ac:dyDescent="0.2">
      <c r="A27" s="25"/>
      <c r="B27" s="25"/>
      <c r="C27" s="25"/>
      <c r="D27" s="25"/>
      <c r="E27" s="25"/>
      <c r="F27" s="25"/>
      <c r="G27" s="25"/>
      <c r="H27" s="25"/>
      <c r="I27" s="25"/>
    </row>
    <row r="28" spans="1:9" x14ac:dyDescent="0.2">
      <c r="A28" s="25"/>
      <c r="B28" s="25"/>
      <c r="C28" s="25"/>
      <c r="D28" s="25"/>
      <c r="E28" s="25"/>
      <c r="F28" s="25"/>
      <c r="G28" s="25"/>
      <c r="H28" s="25"/>
      <c r="I28" s="25"/>
    </row>
    <row r="29" spans="1:9" x14ac:dyDescent="0.2">
      <c r="A29" s="25"/>
      <c r="B29" s="25"/>
      <c r="C29" s="25"/>
      <c r="D29" s="25"/>
      <c r="E29" s="25"/>
      <c r="F29" s="25"/>
      <c r="G29" s="25"/>
      <c r="H29" s="25"/>
      <c r="I29" s="25"/>
    </row>
    <row r="30" spans="1:9" x14ac:dyDescent="0.2">
      <c r="A30" s="25"/>
      <c r="B30" s="25"/>
      <c r="C30" s="25"/>
      <c r="D30" s="25"/>
      <c r="E30" s="25"/>
      <c r="F30" s="25"/>
      <c r="G30" s="25"/>
      <c r="H30" s="25"/>
      <c r="I30" s="25"/>
    </row>
    <row r="31" spans="1:9" x14ac:dyDescent="0.2">
      <c r="A31" s="25"/>
      <c r="B31" s="25"/>
      <c r="C31" s="25"/>
      <c r="D31" s="25"/>
      <c r="E31" s="25"/>
      <c r="F31" s="25"/>
      <c r="G31" s="25"/>
      <c r="H31" s="25"/>
      <c r="I31" s="25"/>
    </row>
    <row r="32" spans="1:9" x14ac:dyDescent="0.2">
      <c r="A32" s="35"/>
      <c r="B32" s="25"/>
      <c r="C32" s="25"/>
      <c r="D32" s="25"/>
      <c r="E32" s="25"/>
      <c r="F32" s="25"/>
      <c r="G32" s="25"/>
      <c r="H32" s="25"/>
      <c r="I32" s="25"/>
    </row>
    <row r="33" spans="1:9" x14ac:dyDescent="0.2">
      <c r="A33" s="25"/>
      <c r="B33" s="25"/>
      <c r="C33" s="25"/>
      <c r="D33" s="25"/>
      <c r="E33" s="25"/>
      <c r="F33" s="25"/>
      <c r="G33" s="25"/>
      <c r="H33" s="25"/>
      <c r="I33" s="25"/>
    </row>
    <row r="34" spans="1:9" x14ac:dyDescent="0.2">
      <c r="A34" s="25"/>
      <c r="B34" s="25"/>
      <c r="C34" s="25"/>
      <c r="D34" s="25"/>
      <c r="E34" s="25"/>
      <c r="F34" s="25"/>
      <c r="G34" s="25"/>
      <c r="H34" s="25"/>
      <c r="I34" s="25"/>
    </row>
    <row r="35" spans="1:9" x14ac:dyDescent="0.2">
      <c r="A35" s="25"/>
      <c r="B35" s="25"/>
      <c r="C35" s="25"/>
      <c r="D35" s="25"/>
      <c r="E35" s="25"/>
      <c r="F35" s="25"/>
      <c r="G35" s="25"/>
      <c r="H35" s="25"/>
      <c r="I35" s="25"/>
    </row>
    <row r="36" spans="1:9" x14ac:dyDescent="0.2">
      <c r="A36" s="25"/>
      <c r="B36" s="25"/>
      <c r="C36" s="25"/>
      <c r="D36" s="25"/>
      <c r="E36" s="25"/>
      <c r="F36" s="25"/>
      <c r="G36" s="25"/>
      <c r="H36" s="25"/>
      <c r="I36" s="25"/>
    </row>
    <row r="37" spans="1:9" x14ac:dyDescent="0.2">
      <c r="A37" s="25"/>
      <c r="B37" s="25"/>
      <c r="C37" s="25"/>
      <c r="D37" s="25"/>
      <c r="E37" s="25"/>
      <c r="F37" s="25"/>
      <c r="G37" s="25"/>
      <c r="H37" s="25"/>
      <c r="I37" s="25"/>
    </row>
    <row r="38" spans="1:9" x14ac:dyDescent="0.2">
      <c r="A38" s="25"/>
      <c r="B38" s="25"/>
      <c r="C38" s="25"/>
      <c r="D38" s="25"/>
      <c r="E38" s="25"/>
      <c r="F38" s="25"/>
      <c r="G38" s="25"/>
      <c r="H38" s="25"/>
      <c r="I38" s="25"/>
    </row>
    <row r="39" spans="1:9" x14ac:dyDescent="0.2">
      <c r="A39" s="25"/>
      <c r="B39" s="25"/>
      <c r="C39" s="25"/>
      <c r="D39" s="25"/>
      <c r="E39" s="25"/>
      <c r="F39" s="25"/>
      <c r="G39" s="25"/>
      <c r="H39" s="25"/>
      <c r="I39" s="25"/>
    </row>
    <row r="40" spans="1:9" x14ac:dyDescent="0.2">
      <c r="A40" s="25"/>
      <c r="B40" s="25"/>
      <c r="C40" s="25"/>
      <c r="D40" s="25"/>
      <c r="E40" s="25"/>
      <c r="F40" s="25"/>
      <c r="G40" s="25"/>
      <c r="H40" s="25"/>
      <c r="I40" s="25"/>
    </row>
    <row r="41" spans="1:9" x14ac:dyDescent="0.2">
      <c r="A41" s="25"/>
      <c r="B41" s="25"/>
      <c r="C41" s="25"/>
      <c r="D41" s="25"/>
      <c r="E41" s="25"/>
      <c r="F41" s="25"/>
      <c r="G41" s="25"/>
      <c r="H41" s="25"/>
      <c r="I41" s="25"/>
    </row>
    <row r="42" spans="1:9" x14ac:dyDescent="0.2">
      <c r="A42" s="25"/>
      <c r="B42" s="25"/>
      <c r="C42" s="25"/>
      <c r="D42" s="25"/>
      <c r="E42" s="25"/>
      <c r="F42" s="25"/>
      <c r="G42" s="25"/>
      <c r="H42" s="25"/>
      <c r="I42" s="25"/>
    </row>
    <row r="43" spans="1:9" x14ac:dyDescent="0.2">
      <c r="A43" s="25"/>
      <c r="B43" s="25"/>
      <c r="C43" s="25"/>
      <c r="D43" s="25"/>
      <c r="E43" s="25"/>
      <c r="F43" s="25"/>
      <c r="G43" s="25"/>
      <c r="H43" s="25"/>
      <c r="I43" s="25"/>
    </row>
    <row r="44" spans="1:9" x14ac:dyDescent="0.2">
      <c r="A44" s="25"/>
      <c r="B44" s="25"/>
      <c r="C44" s="25"/>
      <c r="D44" s="25"/>
      <c r="E44" s="25"/>
      <c r="F44" s="25"/>
      <c r="G44" s="25"/>
      <c r="H44" s="25"/>
      <c r="I44" s="25"/>
    </row>
    <row r="45" spans="1:9" x14ac:dyDescent="0.2">
      <c r="A45" s="25"/>
      <c r="B45" s="25"/>
      <c r="C45" s="25"/>
      <c r="D45" s="25"/>
      <c r="E45" s="25"/>
      <c r="F45" s="25"/>
      <c r="G45" s="25"/>
      <c r="H45" s="25"/>
      <c r="I45" s="25"/>
    </row>
    <row r="46" spans="1:9" x14ac:dyDescent="0.2">
      <c r="A46" s="25"/>
      <c r="B46" s="25"/>
      <c r="C46" s="25"/>
      <c r="D46" s="25"/>
      <c r="E46" s="25"/>
      <c r="F46" s="25"/>
      <c r="G46" s="25"/>
      <c r="H46" s="25"/>
      <c r="I46" s="25"/>
    </row>
    <row r="47" spans="1:9" x14ac:dyDescent="0.2">
      <c r="A47" s="25"/>
      <c r="B47" s="25"/>
      <c r="C47" s="25"/>
      <c r="D47" s="25"/>
      <c r="E47" s="25"/>
      <c r="F47" s="25"/>
      <c r="G47" s="25"/>
      <c r="H47" s="25"/>
      <c r="I47" s="25"/>
    </row>
    <row r="48" spans="1:9" x14ac:dyDescent="0.2">
      <c r="A48" s="25"/>
      <c r="B48" s="25"/>
      <c r="C48" s="25"/>
      <c r="D48" s="25"/>
      <c r="E48" s="25"/>
      <c r="F48" s="25"/>
      <c r="G48" s="25"/>
      <c r="H48" s="25"/>
      <c r="I48" s="25"/>
    </row>
    <row r="49" spans="1:9" x14ac:dyDescent="0.2">
      <c r="A49" s="25"/>
      <c r="B49" s="25"/>
      <c r="C49" s="25"/>
      <c r="D49" s="25"/>
      <c r="E49" s="25"/>
      <c r="F49" s="25"/>
      <c r="G49" s="25"/>
      <c r="H49" s="25"/>
      <c r="I49" s="25"/>
    </row>
    <row r="50" spans="1:9" x14ac:dyDescent="0.2">
      <c r="A50" s="25"/>
      <c r="B50" s="25"/>
      <c r="C50" s="25"/>
      <c r="D50" s="25"/>
      <c r="E50" s="25"/>
      <c r="F50" s="25"/>
      <c r="G50" s="25"/>
      <c r="H50" s="25"/>
      <c r="I50" s="25"/>
    </row>
    <row r="51" spans="1:9" x14ac:dyDescent="0.2">
      <c r="A51" s="25"/>
      <c r="B51" s="25"/>
      <c r="C51" s="25"/>
      <c r="D51" s="25"/>
      <c r="E51" s="25"/>
      <c r="F51" s="25"/>
      <c r="G51" s="25"/>
      <c r="H51" s="25"/>
      <c r="I51" s="25"/>
    </row>
    <row r="52" spans="1:9" x14ac:dyDescent="0.2">
      <c r="A52" s="25"/>
      <c r="B52" s="25"/>
      <c r="C52" s="25"/>
      <c r="D52" s="25"/>
      <c r="E52" s="25"/>
      <c r="F52" s="25"/>
      <c r="G52" s="25"/>
      <c r="H52" s="25"/>
      <c r="I52" s="25"/>
    </row>
    <row r="53" spans="1:9" x14ac:dyDescent="0.2">
      <c r="A53" s="25"/>
      <c r="B53" s="25"/>
      <c r="C53" s="25"/>
      <c r="D53" s="25"/>
      <c r="E53" s="25"/>
      <c r="F53" s="25"/>
      <c r="G53" s="25"/>
      <c r="H53" s="25"/>
      <c r="I53" s="25"/>
    </row>
    <row r="54" spans="1:9" x14ac:dyDescent="0.2">
      <c r="A54" s="25"/>
      <c r="B54" s="25"/>
      <c r="C54" s="25"/>
      <c r="D54" s="25"/>
      <c r="E54" s="25"/>
      <c r="F54" s="25"/>
      <c r="G54" s="25"/>
      <c r="H54" s="25"/>
      <c r="I54" s="25"/>
    </row>
    <row r="55" spans="1:9" x14ac:dyDescent="0.2">
      <c r="A55" s="25"/>
      <c r="B55" s="25"/>
      <c r="C55" s="25"/>
      <c r="D55" s="25"/>
      <c r="E55" s="25"/>
      <c r="F55" s="25"/>
      <c r="G55" s="25"/>
      <c r="H55" s="25"/>
      <c r="I55" s="25"/>
    </row>
    <row r="56" spans="1:9" x14ac:dyDescent="0.2">
      <c r="A56" s="25"/>
      <c r="B56" s="25"/>
      <c r="C56" s="25"/>
      <c r="D56" s="25"/>
      <c r="E56" s="25"/>
      <c r="F56" s="25"/>
      <c r="G56" s="25"/>
      <c r="H56" s="25"/>
      <c r="I56" s="25"/>
    </row>
    <row r="57" spans="1:9" x14ac:dyDescent="0.2">
      <c r="A57" s="25"/>
      <c r="B57" s="25"/>
      <c r="C57" s="25"/>
      <c r="D57" s="25"/>
      <c r="E57" s="25"/>
      <c r="F57" s="25"/>
      <c r="G57" s="25"/>
      <c r="H57" s="25"/>
      <c r="I57" s="25"/>
    </row>
    <row r="58" spans="1:9" x14ac:dyDescent="0.2">
      <c r="A58" s="25"/>
      <c r="B58" s="25"/>
      <c r="C58" s="25"/>
      <c r="D58" s="25"/>
      <c r="E58" s="25"/>
      <c r="F58" s="25"/>
      <c r="G58" s="25"/>
      <c r="H58" s="25"/>
      <c r="I58" s="25"/>
    </row>
    <row r="59" spans="1:9" x14ac:dyDescent="0.2">
      <c r="A59" s="25"/>
      <c r="B59" s="25"/>
      <c r="C59" s="25"/>
      <c r="D59" s="25"/>
      <c r="E59" s="25"/>
      <c r="F59" s="25"/>
      <c r="G59" s="25"/>
      <c r="H59" s="25"/>
      <c r="I59" s="25"/>
    </row>
    <row r="60" spans="1:9" x14ac:dyDescent="0.2">
      <c r="A60" s="25"/>
      <c r="B60" s="25"/>
      <c r="C60" s="25"/>
      <c r="D60" s="25"/>
      <c r="E60" s="25"/>
      <c r="F60" s="25"/>
      <c r="G60" s="25"/>
      <c r="H60" s="25"/>
      <c r="I60" s="25"/>
    </row>
    <row r="61" spans="1:9" x14ac:dyDescent="0.2">
      <c r="A61" s="25"/>
      <c r="B61" s="25"/>
      <c r="C61" s="25"/>
      <c r="D61" s="25"/>
      <c r="E61" s="25"/>
      <c r="F61" s="25"/>
      <c r="G61" s="25"/>
      <c r="H61" s="25"/>
      <c r="I61" s="25"/>
    </row>
    <row r="62" spans="1:9" x14ac:dyDescent="0.2">
      <c r="A62" s="25"/>
      <c r="B62" s="25"/>
      <c r="C62" s="25"/>
      <c r="D62" s="25"/>
      <c r="E62" s="25"/>
      <c r="F62" s="25"/>
      <c r="G62" s="25"/>
      <c r="H62" s="25"/>
      <c r="I62" s="25"/>
    </row>
    <row r="63" spans="1:9" x14ac:dyDescent="0.2">
      <c r="A63" s="25"/>
      <c r="B63" s="25"/>
      <c r="C63" s="25"/>
      <c r="D63" s="25"/>
      <c r="E63" s="25"/>
      <c r="F63" s="25"/>
      <c r="G63" s="25"/>
      <c r="H63" s="25"/>
      <c r="I63" s="25"/>
    </row>
    <row r="64" spans="1:9" x14ac:dyDescent="0.2">
      <c r="A64" s="25"/>
      <c r="B64" s="25"/>
      <c r="C64" s="25"/>
      <c r="D64" s="25"/>
      <c r="E64" s="25"/>
      <c r="F64" s="25"/>
      <c r="G64" s="25"/>
      <c r="H64" s="25"/>
      <c r="I64" s="25"/>
    </row>
    <row r="65" spans="1:9" x14ac:dyDescent="0.2">
      <c r="A65" s="25"/>
      <c r="B65" s="25"/>
      <c r="C65" s="25"/>
      <c r="D65" s="25"/>
      <c r="E65" s="25"/>
      <c r="F65" s="25"/>
      <c r="G65" s="25"/>
      <c r="H65" s="25"/>
      <c r="I65" s="25"/>
    </row>
    <row r="66" spans="1:9" x14ac:dyDescent="0.2">
      <c r="A66" s="25"/>
      <c r="B66" s="25"/>
      <c r="C66" s="25"/>
      <c r="D66" s="25"/>
      <c r="E66" s="25"/>
      <c r="F66" s="25"/>
      <c r="G66" s="25"/>
      <c r="H66" s="25"/>
      <c r="I66" s="25"/>
    </row>
    <row r="67" spans="1:9" x14ac:dyDescent="0.2">
      <c r="A67" s="25"/>
      <c r="B67" s="25"/>
      <c r="C67" s="25"/>
      <c r="D67" s="25"/>
      <c r="E67" s="25"/>
      <c r="F67" s="25"/>
      <c r="G67" s="25"/>
      <c r="H67" s="25"/>
      <c r="I67" s="25"/>
    </row>
    <row r="68" spans="1:9" x14ac:dyDescent="0.2">
      <c r="A68" s="25"/>
      <c r="B68" s="25"/>
      <c r="C68" s="25"/>
      <c r="D68" s="25"/>
      <c r="E68" s="25"/>
      <c r="F68" s="25"/>
      <c r="G68" s="25"/>
      <c r="H68" s="25"/>
      <c r="I68" s="25"/>
    </row>
    <row r="69" spans="1:9" x14ac:dyDescent="0.2">
      <c r="A69" s="25"/>
      <c r="B69" s="25"/>
      <c r="C69" s="25"/>
      <c r="D69" s="25"/>
      <c r="E69" s="25"/>
      <c r="F69" s="25"/>
      <c r="G69" s="25"/>
      <c r="H69" s="25"/>
      <c r="I69" s="25"/>
    </row>
    <row r="70" spans="1:9" x14ac:dyDescent="0.2">
      <c r="A70" s="25"/>
      <c r="B70" s="25"/>
      <c r="C70" s="25"/>
      <c r="D70" s="25"/>
      <c r="E70" s="25"/>
      <c r="F70" s="25"/>
      <c r="G70" s="25"/>
      <c r="H70" s="25"/>
      <c r="I70" s="25"/>
    </row>
    <row r="71" spans="1:9" x14ac:dyDescent="0.2">
      <c r="A71" s="25"/>
      <c r="B71" s="25"/>
      <c r="C71" s="25"/>
      <c r="D71" s="25"/>
      <c r="E71" s="25"/>
      <c r="F71" s="25"/>
      <c r="G71" s="25"/>
      <c r="H71" s="25"/>
      <c r="I71" s="25"/>
    </row>
    <row r="72" spans="1:9" x14ac:dyDescent="0.2">
      <c r="A72" s="25"/>
      <c r="B72" s="25"/>
      <c r="C72" s="25"/>
      <c r="D72" s="25"/>
      <c r="E72" s="25"/>
      <c r="F72" s="25"/>
      <c r="G72" s="25"/>
      <c r="H72" s="25"/>
      <c r="I72" s="25"/>
    </row>
    <row r="73" spans="1:9" x14ac:dyDescent="0.2">
      <c r="A73" s="25"/>
      <c r="B73" s="25"/>
      <c r="C73" s="25"/>
      <c r="D73" s="25"/>
      <c r="E73" s="25"/>
      <c r="F73" s="25"/>
      <c r="G73" s="25"/>
      <c r="H73" s="25"/>
      <c r="I73" s="25"/>
    </row>
    <row r="74" spans="1:9" x14ac:dyDescent="0.2">
      <c r="A74" s="25"/>
      <c r="B74" s="25"/>
      <c r="C74" s="25"/>
      <c r="D74" s="25"/>
      <c r="E74" s="25"/>
      <c r="F74" s="25"/>
      <c r="G74" s="25"/>
      <c r="H74" s="25"/>
      <c r="I74" s="25"/>
    </row>
    <row r="75" spans="1:9" x14ac:dyDescent="0.2">
      <c r="A75" s="25"/>
      <c r="B75" s="25"/>
      <c r="C75" s="25"/>
      <c r="D75" s="25"/>
      <c r="E75" s="25"/>
      <c r="F75" s="25"/>
      <c r="G75" s="25"/>
      <c r="H75" s="25"/>
      <c r="I75" s="25"/>
    </row>
    <row r="76" spans="1:9" x14ac:dyDescent="0.2">
      <c r="A76" s="25"/>
      <c r="B76" s="25"/>
      <c r="C76" s="25"/>
      <c r="D76" s="25"/>
      <c r="E76" s="25"/>
      <c r="F76" s="25"/>
      <c r="G76" s="25"/>
      <c r="H76" s="25"/>
      <c r="I76" s="25"/>
    </row>
    <row r="77" spans="1:9" x14ac:dyDescent="0.2">
      <c r="A77" s="25"/>
      <c r="B77" s="25"/>
      <c r="C77" s="25"/>
      <c r="D77" s="25"/>
      <c r="E77" s="25"/>
      <c r="F77" s="25"/>
      <c r="G77" s="25"/>
      <c r="H77" s="25"/>
      <c r="I77" s="25"/>
    </row>
    <row r="78" spans="1:9" x14ac:dyDescent="0.2">
      <c r="A78" s="25"/>
      <c r="B78" s="25"/>
      <c r="C78" s="25"/>
      <c r="D78" s="25"/>
      <c r="E78" s="25"/>
      <c r="F78" s="25"/>
      <c r="G78" s="25"/>
      <c r="H78" s="25"/>
      <c r="I78" s="25"/>
    </row>
    <row r="79" spans="1:9" x14ac:dyDescent="0.2">
      <c r="A79" s="25"/>
      <c r="B79" s="25"/>
      <c r="C79" s="25"/>
      <c r="D79" s="25"/>
      <c r="E79" s="25"/>
      <c r="F79" s="25"/>
      <c r="G79" s="25"/>
      <c r="H79" s="25"/>
      <c r="I79" s="25"/>
    </row>
    <row r="80" spans="1:9" x14ac:dyDescent="0.2">
      <c r="A80" s="25"/>
      <c r="B80" s="25"/>
      <c r="C80" s="25"/>
      <c r="D80" s="25"/>
      <c r="E80" s="25"/>
      <c r="F80" s="25"/>
      <c r="G80" s="25"/>
      <c r="H80" s="25"/>
      <c r="I80" s="25"/>
    </row>
    <row r="81" spans="1:9" x14ac:dyDescent="0.2">
      <c r="A81" s="25"/>
      <c r="B81" s="25"/>
      <c r="C81" s="25"/>
      <c r="D81" s="25"/>
      <c r="E81" s="25"/>
      <c r="F81" s="25"/>
      <c r="G81" s="25"/>
      <c r="H81" s="25"/>
      <c r="I81" s="25"/>
    </row>
    <row r="82" spans="1:9" x14ac:dyDescent="0.2">
      <c r="A82" s="25"/>
      <c r="B82" s="25"/>
      <c r="C82" s="25"/>
      <c r="D82" s="25"/>
      <c r="E82" s="25"/>
      <c r="F82" s="25"/>
      <c r="G82" s="25"/>
      <c r="H82" s="25"/>
      <c r="I82" s="25"/>
    </row>
    <row r="83" spans="1:9" x14ac:dyDescent="0.2">
      <c r="A83" s="25"/>
      <c r="B83" s="25"/>
      <c r="C83" s="25"/>
      <c r="D83" s="25"/>
      <c r="E83" s="25"/>
      <c r="F83" s="25"/>
      <c r="G83" s="25"/>
      <c r="H83" s="25"/>
      <c r="I83" s="25"/>
    </row>
    <row r="84" spans="1:9" x14ac:dyDescent="0.2">
      <c r="A84" s="25"/>
      <c r="B84" s="25"/>
      <c r="C84" s="25"/>
      <c r="D84" s="25"/>
      <c r="E84" s="25"/>
      <c r="F84" s="25"/>
      <c r="G84" s="25"/>
      <c r="H84" s="25"/>
      <c r="I84" s="25"/>
    </row>
    <row r="85" spans="1:9" x14ac:dyDescent="0.2">
      <c r="A85" s="25"/>
      <c r="B85" s="25"/>
      <c r="C85" s="25"/>
      <c r="D85" s="25"/>
      <c r="E85" s="25"/>
      <c r="F85" s="25"/>
      <c r="G85" s="25"/>
      <c r="H85" s="25"/>
      <c r="I85" s="25"/>
    </row>
    <row r="86" spans="1:9" x14ac:dyDescent="0.2">
      <c r="A86" s="25"/>
      <c r="B86" s="25"/>
      <c r="C86" s="25"/>
      <c r="D86" s="25"/>
      <c r="E86" s="25"/>
      <c r="F86" s="25"/>
      <c r="G86" s="25"/>
      <c r="H86" s="25"/>
      <c r="I86" s="25"/>
    </row>
    <row r="87" spans="1:9" x14ac:dyDescent="0.2">
      <c r="A87" s="25"/>
      <c r="B87" s="25"/>
      <c r="C87" s="25"/>
      <c r="D87" s="25"/>
      <c r="E87" s="25"/>
      <c r="F87" s="25"/>
      <c r="G87" s="25"/>
      <c r="H87" s="25"/>
      <c r="I87" s="25"/>
    </row>
    <row r="88" spans="1:9" x14ac:dyDescent="0.2">
      <c r="A88" s="25"/>
      <c r="B88" s="25"/>
      <c r="C88" s="25"/>
      <c r="D88" s="25"/>
      <c r="E88" s="25"/>
      <c r="F88" s="25"/>
      <c r="G88" s="25"/>
      <c r="H88" s="25"/>
      <c r="I88" s="25"/>
    </row>
    <row r="89" spans="1:9" x14ac:dyDescent="0.2">
      <c r="A89" s="25"/>
      <c r="B89" s="25"/>
      <c r="C89" s="25"/>
      <c r="D89" s="25"/>
      <c r="E89" s="25"/>
      <c r="F89" s="25"/>
      <c r="G89" s="25"/>
      <c r="H89" s="25"/>
      <c r="I89" s="25"/>
    </row>
    <row r="90" spans="1:9" x14ac:dyDescent="0.2">
      <c r="A90" s="25"/>
      <c r="B90" s="25"/>
      <c r="C90" s="25"/>
      <c r="D90" s="25"/>
      <c r="E90" s="25"/>
      <c r="F90" s="25"/>
      <c r="G90" s="25"/>
      <c r="H90" s="25"/>
      <c r="I90" s="25"/>
    </row>
    <row r="91" spans="1:9" x14ac:dyDescent="0.2">
      <c r="A91" s="25"/>
      <c r="B91" s="25"/>
      <c r="C91" s="25"/>
      <c r="D91" s="25"/>
      <c r="E91" s="25"/>
      <c r="F91" s="25"/>
      <c r="G91" s="25"/>
      <c r="H91" s="25"/>
      <c r="I91" s="25"/>
    </row>
    <row r="92" spans="1:9" x14ac:dyDescent="0.2">
      <c r="A92" s="25"/>
      <c r="B92" s="25"/>
      <c r="C92" s="25"/>
      <c r="D92" s="25"/>
      <c r="E92" s="25"/>
      <c r="F92" s="25"/>
      <c r="G92" s="25"/>
      <c r="H92" s="25"/>
      <c r="I92" s="25"/>
    </row>
    <row r="93" spans="1:9" x14ac:dyDescent="0.2">
      <c r="A93" s="25"/>
      <c r="B93" s="25"/>
      <c r="C93" s="25"/>
      <c r="D93" s="25"/>
      <c r="E93" s="25"/>
      <c r="F93" s="25"/>
      <c r="G93" s="25"/>
      <c r="H93" s="25"/>
      <c r="I93" s="25"/>
    </row>
    <row r="94" spans="1:9" x14ac:dyDescent="0.2">
      <c r="A94" s="25"/>
      <c r="B94" s="25"/>
      <c r="C94" s="25"/>
      <c r="D94" s="25"/>
      <c r="E94" s="25"/>
      <c r="F94" s="25"/>
      <c r="G94" s="25"/>
      <c r="H94" s="25"/>
      <c r="I94" s="25"/>
    </row>
    <row r="95" spans="1:9" x14ac:dyDescent="0.2">
      <c r="A95" s="25"/>
      <c r="B95" s="25"/>
      <c r="C95" s="25"/>
      <c r="D95" s="25"/>
      <c r="E95" s="25"/>
      <c r="F95" s="25"/>
      <c r="G95" s="25"/>
      <c r="H95" s="25"/>
      <c r="I95" s="25"/>
    </row>
    <row r="96" spans="1:9" x14ac:dyDescent="0.2">
      <c r="A96" s="25"/>
      <c r="B96" s="25"/>
      <c r="C96" s="25"/>
      <c r="D96" s="25"/>
      <c r="E96" s="25"/>
      <c r="F96" s="25"/>
      <c r="G96" s="25"/>
      <c r="H96" s="25"/>
      <c r="I96" s="25"/>
    </row>
    <row r="97" spans="1:9" x14ac:dyDescent="0.2">
      <c r="A97" s="25"/>
      <c r="B97" s="25"/>
      <c r="C97" s="25"/>
      <c r="D97" s="25"/>
      <c r="E97" s="25"/>
      <c r="F97" s="25"/>
      <c r="G97" s="25"/>
      <c r="H97" s="25"/>
      <c r="I97" s="25"/>
    </row>
    <row r="98" spans="1:9" x14ac:dyDescent="0.2">
      <c r="A98" s="25"/>
      <c r="B98" s="25"/>
      <c r="C98" s="25"/>
      <c r="D98" s="25"/>
      <c r="E98" s="25"/>
      <c r="F98" s="25"/>
      <c r="G98" s="25"/>
      <c r="H98" s="25"/>
      <c r="I98" s="25"/>
    </row>
    <row r="99" spans="1:9" x14ac:dyDescent="0.2">
      <c r="A99" s="25"/>
      <c r="B99" s="25"/>
      <c r="C99" s="25"/>
      <c r="D99" s="25"/>
      <c r="E99" s="25"/>
      <c r="F99" s="25"/>
      <c r="G99" s="25"/>
      <c r="H99" s="25"/>
      <c r="I99" s="25"/>
    </row>
    <row r="100" spans="1:9" x14ac:dyDescent="0.2">
      <c r="A100" s="25"/>
      <c r="B100" s="25"/>
      <c r="C100" s="25"/>
      <c r="D100" s="25"/>
      <c r="E100" s="25"/>
      <c r="F100" s="25"/>
      <c r="G100" s="25"/>
      <c r="H100" s="25"/>
      <c r="I100" s="25"/>
    </row>
    <row r="101" spans="1:9" x14ac:dyDescent="0.2">
      <c r="A101" s="25"/>
      <c r="B101" s="25"/>
      <c r="C101" s="25"/>
      <c r="D101" s="25"/>
      <c r="E101" s="25"/>
      <c r="F101" s="25"/>
      <c r="G101" s="25"/>
      <c r="H101" s="25"/>
      <c r="I101" s="25"/>
    </row>
    <row r="102" spans="1:9" x14ac:dyDescent="0.2">
      <c r="A102" s="25"/>
      <c r="B102" s="25"/>
      <c r="C102" s="25"/>
      <c r="D102" s="25"/>
      <c r="E102" s="25"/>
      <c r="F102" s="25"/>
      <c r="G102" s="25"/>
      <c r="H102" s="25"/>
      <c r="I102" s="25"/>
    </row>
    <row r="103" spans="1:9" x14ac:dyDescent="0.2">
      <c r="A103" s="25"/>
      <c r="B103" s="25"/>
      <c r="C103" s="25"/>
      <c r="D103" s="25"/>
      <c r="E103" s="25"/>
      <c r="F103" s="25"/>
      <c r="G103" s="25"/>
      <c r="H103" s="25"/>
      <c r="I103" s="25"/>
    </row>
    <row r="104" spans="1:9" x14ac:dyDescent="0.2">
      <c r="A104" s="25"/>
      <c r="B104" s="25"/>
      <c r="C104" s="25"/>
      <c r="D104" s="25"/>
      <c r="E104" s="25"/>
      <c r="F104" s="25"/>
      <c r="G104" s="25"/>
      <c r="H104" s="25"/>
      <c r="I104" s="25"/>
    </row>
    <row r="105" spans="1:9" x14ac:dyDescent="0.2">
      <c r="A105" s="25"/>
      <c r="B105" s="25"/>
      <c r="C105" s="25"/>
      <c r="D105" s="25"/>
      <c r="E105" s="25"/>
      <c r="F105" s="25"/>
      <c r="G105" s="25"/>
      <c r="H105" s="25"/>
      <c r="I105" s="25"/>
    </row>
    <row r="106" spans="1:9" x14ac:dyDescent="0.2">
      <c r="A106" s="25"/>
      <c r="B106" s="25"/>
      <c r="C106" s="25"/>
      <c r="D106" s="25"/>
      <c r="E106" s="25"/>
      <c r="F106" s="25"/>
      <c r="G106" s="25"/>
      <c r="H106" s="25"/>
      <c r="I106" s="25"/>
    </row>
    <row r="107" spans="1:9" x14ac:dyDescent="0.2">
      <c r="A107" s="25"/>
      <c r="B107" s="25"/>
      <c r="C107" s="25"/>
      <c r="D107" s="25"/>
      <c r="E107" s="25"/>
      <c r="F107" s="25"/>
      <c r="G107" s="25"/>
      <c r="H107" s="25"/>
      <c r="I107" s="25"/>
    </row>
    <row r="108" spans="1:9" x14ac:dyDescent="0.2">
      <c r="A108" s="25"/>
      <c r="B108" s="25"/>
      <c r="C108" s="25"/>
      <c r="D108" s="25"/>
      <c r="E108" s="25"/>
      <c r="F108" s="25"/>
      <c r="G108" s="25"/>
      <c r="H108" s="25"/>
      <c r="I108" s="25"/>
    </row>
    <row r="109" spans="1:9" x14ac:dyDescent="0.2">
      <c r="A109" s="25"/>
      <c r="B109" s="25"/>
      <c r="C109" s="25"/>
      <c r="D109" s="25"/>
      <c r="E109" s="25"/>
      <c r="F109" s="25"/>
      <c r="G109" s="25"/>
      <c r="H109" s="25"/>
      <c r="I109" s="25"/>
    </row>
    <row r="110" spans="1:9" x14ac:dyDescent="0.2">
      <c r="A110" s="25"/>
      <c r="B110" s="25"/>
      <c r="C110" s="25"/>
      <c r="D110" s="25"/>
      <c r="E110" s="25"/>
      <c r="F110" s="25"/>
      <c r="G110" s="25"/>
      <c r="H110" s="25"/>
      <c r="I110" s="25"/>
    </row>
    <row r="111" spans="1:9" x14ac:dyDescent="0.2">
      <c r="A111" s="25"/>
      <c r="B111" s="25"/>
      <c r="C111" s="25"/>
      <c r="D111" s="25"/>
      <c r="E111" s="25"/>
      <c r="F111" s="25"/>
      <c r="G111" s="25"/>
      <c r="H111" s="25"/>
      <c r="I111" s="25"/>
    </row>
    <row r="112" spans="1:9" x14ac:dyDescent="0.2">
      <c r="A112" s="25"/>
      <c r="B112" s="25"/>
      <c r="C112" s="25"/>
      <c r="D112" s="25"/>
      <c r="E112" s="25"/>
      <c r="F112" s="25"/>
      <c r="G112" s="25"/>
      <c r="H112" s="25"/>
      <c r="I112" s="25"/>
    </row>
    <row r="113" spans="1:9" x14ac:dyDescent="0.2">
      <c r="A113" s="25"/>
      <c r="B113" s="25"/>
      <c r="C113" s="25"/>
      <c r="D113" s="25"/>
      <c r="E113" s="25"/>
      <c r="F113" s="25"/>
      <c r="G113" s="25"/>
      <c r="H113" s="25"/>
      <c r="I113" s="25"/>
    </row>
    <row r="114" spans="1:9" x14ac:dyDescent="0.2">
      <c r="A114" s="25"/>
      <c r="B114" s="25"/>
      <c r="C114" s="25"/>
      <c r="D114" s="25"/>
      <c r="E114" s="25"/>
      <c r="F114" s="25"/>
      <c r="G114" s="25"/>
      <c r="H114" s="25"/>
      <c r="I114" s="25"/>
    </row>
    <row r="115" spans="1:9" x14ac:dyDescent="0.2">
      <c r="A115" s="25"/>
      <c r="B115" s="25"/>
      <c r="C115" s="25"/>
      <c r="D115" s="25"/>
      <c r="E115" s="25"/>
      <c r="F115" s="25"/>
      <c r="G115" s="25"/>
      <c r="H115" s="25"/>
      <c r="I115" s="25"/>
    </row>
    <row r="116" spans="1:9" x14ac:dyDescent="0.2">
      <c r="A116" s="25"/>
      <c r="B116" s="25"/>
      <c r="C116" s="25"/>
      <c r="D116" s="25"/>
      <c r="E116" s="25"/>
      <c r="F116" s="25"/>
      <c r="G116" s="25"/>
      <c r="H116" s="25"/>
      <c r="I116" s="25"/>
    </row>
    <row r="117" spans="1:9" x14ac:dyDescent="0.2">
      <c r="A117" s="25"/>
      <c r="B117" s="25"/>
      <c r="C117" s="25"/>
      <c r="D117" s="25"/>
      <c r="E117" s="25"/>
      <c r="F117" s="25"/>
      <c r="G117" s="25"/>
      <c r="H117" s="25"/>
      <c r="I117" s="25"/>
    </row>
    <row r="118" spans="1:9" x14ac:dyDescent="0.2">
      <c r="A118" s="25"/>
      <c r="B118" s="25"/>
      <c r="C118" s="25"/>
      <c r="D118" s="25"/>
      <c r="E118" s="25"/>
      <c r="F118" s="25"/>
      <c r="G118" s="25"/>
      <c r="H118" s="25"/>
      <c r="I118" s="25"/>
    </row>
    <row r="119" spans="1:9" x14ac:dyDescent="0.2">
      <c r="A119" s="25"/>
      <c r="B119" s="25"/>
      <c r="C119" s="25"/>
      <c r="D119" s="25"/>
      <c r="E119" s="25"/>
      <c r="F119" s="25"/>
      <c r="G119" s="25"/>
      <c r="H119" s="25"/>
      <c r="I119" s="25"/>
    </row>
    <row r="120" spans="1:9" x14ac:dyDescent="0.2">
      <c r="A120" s="25"/>
      <c r="B120" s="25"/>
      <c r="C120" s="25"/>
      <c r="D120" s="25"/>
      <c r="E120" s="25"/>
      <c r="F120" s="25"/>
      <c r="G120" s="25"/>
      <c r="H120" s="25"/>
      <c r="I120" s="25"/>
    </row>
    <row r="121" spans="1:9" x14ac:dyDescent="0.2">
      <c r="A121" s="25"/>
      <c r="B121" s="25"/>
      <c r="C121" s="25"/>
      <c r="D121" s="25"/>
      <c r="E121" s="25"/>
      <c r="F121" s="25"/>
      <c r="G121" s="25"/>
      <c r="H121" s="25"/>
      <c r="I121" s="25"/>
    </row>
    <row r="122" spans="1:9" x14ac:dyDescent="0.2">
      <c r="A122" s="25"/>
      <c r="B122" s="25"/>
      <c r="C122" s="25"/>
      <c r="D122" s="25"/>
      <c r="E122" s="25"/>
      <c r="F122" s="25"/>
      <c r="G122" s="25"/>
      <c r="H122" s="25"/>
      <c r="I122" s="25"/>
    </row>
    <row r="123" spans="1:9" x14ac:dyDescent="0.2">
      <c r="A123" s="25"/>
      <c r="B123" s="25"/>
      <c r="C123" s="25"/>
      <c r="D123" s="25"/>
      <c r="E123" s="25"/>
      <c r="F123" s="25"/>
      <c r="G123" s="25"/>
      <c r="H123" s="25"/>
      <c r="I123" s="25"/>
    </row>
    <row r="124" spans="1:9" x14ac:dyDescent="0.2">
      <c r="A124" s="25"/>
      <c r="B124" s="25"/>
      <c r="C124" s="25"/>
      <c r="D124" s="25"/>
      <c r="E124" s="25"/>
      <c r="F124" s="25"/>
      <c r="G124" s="25"/>
      <c r="H124" s="25"/>
      <c r="I124" s="25"/>
    </row>
    <row r="125" spans="1:9" x14ac:dyDescent="0.2">
      <c r="A125" s="25"/>
      <c r="B125" s="25"/>
      <c r="C125" s="25"/>
      <c r="D125" s="25"/>
      <c r="E125" s="25"/>
      <c r="F125" s="25"/>
      <c r="G125" s="25"/>
      <c r="H125" s="25"/>
      <c r="I125" s="25"/>
    </row>
    <row r="126" spans="1:9" x14ac:dyDescent="0.2">
      <c r="A126" s="25"/>
      <c r="B126" s="25"/>
      <c r="C126" s="25"/>
      <c r="D126" s="25"/>
      <c r="E126" s="25"/>
      <c r="F126" s="25"/>
      <c r="G126" s="25"/>
      <c r="H126" s="25"/>
      <c r="I126" s="25"/>
    </row>
    <row r="127" spans="1:9" x14ac:dyDescent="0.2">
      <c r="A127" s="25"/>
      <c r="B127" s="25"/>
      <c r="C127" s="25"/>
      <c r="D127" s="25"/>
      <c r="E127" s="25"/>
      <c r="F127" s="25"/>
      <c r="G127" s="25"/>
      <c r="H127" s="25"/>
      <c r="I127" s="25"/>
    </row>
    <row r="128" spans="1:9" x14ac:dyDescent="0.2">
      <c r="A128" s="25"/>
      <c r="B128" s="25"/>
      <c r="C128" s="25"/>
      <c r="D128" s="25"/>
      <c r="E128" s="25"/>
      <c r="F128" s="25"/>
      <c r="G128" s="25"/>
      <c r="H128" s="25"/>
      <c r="I128" s="25"/>
    </row>
    <row r="129" spans="1:9" x14ac:dyDescent="0.2">
      <c r="A129" s="25"/>
      <c r="B129" s="25"/>
      <c r="C129" s="25"/>
      <c r="D129" s="25"/>
      <c r="E129" s="25"/>
      <c r="F129" s="25"/>
      <c r="G129" s="25"/>
      <c r="H129" s="25"/>
      <c r="I129" s="25"/>
    </row>
    <row r="130" spans="1:9" x14ac:dyDescent="0.2">
      <c r="A130" s="25"/>
      <c r="B130" s="25"/>
      <c r="C130" s="25"/>
      <c r="D130" s="25"/>
      <c r="E130" s="25"/>
      <c r="F130" s="25"/>
      <c r="G130" s="25"/>
      <c r="H130" s="25"/>
      <c r="I130" s="25"/>
    </row>
    <row r="131" spans="1:9" x14ac:dyDescent="0.2">
      <c r="A131" s="25"/>
      <c r="B131" s="25"/>
      <c r="C131" s="25"/>
      <c r="D131" s="25"/>
      <c r="E131" s="25"/>
      <c r="F131" s="25"/>
      <c r="G131" s="25"/>
      <c r="H131" s="25"/>
      <c r="I131" s="25"/>
    </row>
    <row r="132" spans="1:9" x14ac:dyDescent="0.2">
      <c r="A132" s="25"/>
      <c r="B132" s="25"/>
      <c r="C132" s="25"/>
      <c r="D132" s="25"/>
      <c r="E132" s="25"/>
      <c r="F132" s="25"/>
      <c r="G132" s="25"/>
      <c r="H132" s="25"/>
      <c r="I132" s="25"/>
    </row>
    <row r="133" spans="1:9" x14ac:dyDescent="0.2">
      <c r="A133" s="25"/>
      <c r="B133" s="25"/>
      <c r="C133" s="25"/>
      <c r="D133" s="25"/>
      <c r="E133" s="25"/>
      <c r="F133" s="25"/>
      <c r="G133" s="25"/>
      <c r="H133" s="25"/>
      <c r="I133" s="25"/>
    </row>
    <row r="134" spans="1:9" x14ac:dyDescent="0.2">
      <c r="A134" s="25"/>
      <c r="B134" s="25"/>
      <c r="C134" s="25"/>
      <c r="D134" s="25"/>
      <c r="E134" s="25"/>
      <c r="F134" s="25"/>
      <c r="G134" s="25"/>
      <c r="H134" s="25"/>
      <c r="I134" s="25"/>
    </row>
    <row r="135" spans="1:9" x14ac:dyDescent="0.2">
      <c r="A135" s="25"/>
      <c r="B135" s="25"/>
      <c r="C135" s="25"/>
      <c r="D135" s="25"/>
      <c r="E135" s="25"/>
      <c r="F135" s="25"/>
      <c r="G135" s="25"/>
      <c r="H135" s="25"/>
      <c r="I135" s="25"/>
    </row>
    <row r="136" spans="1:9" x14ac:dyDescent="0.2">
      <c r="A136" s="25"/>
      <c r="B136" s="25"/>
      <c r="C136" s="25"/>
      <c r="D136" s="25"/>
      <c r="E136" s="25"/>
      <c r="F136" s="25"/>
      <c r="G136" s="25"/>
      <c r="H136" s="25"/>
      <c r="I136" s="25"/>
    </row>
    <row r="137" spans="1:9" x14ac:dyDescent="0.2">
      <c r="A137" s="25"/>
      <c r="B137" s="25"/>
      <c r="C137" s="25"/>
      <c r="D137" s="25"/>
      <c r="E137" s="25"/>
      <c r="F137" s="25"/>
      <c r="G137" s="25"/>
      <c r="H137" s="25"/>
      <c r="I137" s="25"/>
    </row>
    <row r="138" spans="1:9" x14ac:dyDescent="0.2">
      <c r="A138" s="25"/>
      <c r="B138" s="25"/>
      <c r="C138" s="25"/>
      <c r="D138" s="25"/>
      <c r="E138" s="25"/>
      <c r="F138" s="25"/>
      <c r="G138" s="25"/>
      <c r="H138" s="25"/>
      <c r="I138" s="25"/>
    </row>
    <row r="139" spans="1:9" x14ac:dyDescent="0.2">
      <c r="A139" s="25"/>
      <c r="B139" s="25"/>
      <c r="C139" s="25"/>
      <c r="D139" s="25"/>
      <c r="E139" s="25"/>
      <c r="F139" s="25"/>
      <c r="G139" s="25"/>
      <c r="H139" s="25"/>
      <c r="I139" s="25"/>
    </row>
    <row r="140" spans="1:9" x14ac:dyDescent="0.2">
      <c r="A140" s="25"/>
      <c r="B140" s="25"/>
      <c r="C140" s="25"/>
      <c r="D140" s="25"/>
      <c r="E140" s="25"/>
      <c r="F140" s="25"/>
      <c r="G140" s="25"/>
      <c r="H140" s="25"/>
      <c r="I140" s="25"/>
    </row>
    <row r="141" spans="1:9" x14ac:dyDescent="0.2">
      <c r="A141" s="25"/>
      <c r="B141" s="25"/>
      <c r="C141" s="25"/>
      <c r="D141" s="25"/>
      <c r="E141" s="25"/>
      <c r="F141" s="25"/>
      <c r="G141" s="25"/>
      <c r="H141" s="25"/>
      <c r="I141" s="25"/>
    </row>
    <row r="142" spans="1:9" x14ac:dyDescent="0.2">
      <c r="A142" s="25"/>
      <c r="B142" s="25"/>
      <c r="C142" s="25"/>
      <c r="D142" s="25"/>
      <c r="E142" s="25"/>
      <c r="F142" s="25"/>
      <c r="G142" s="25"/>
      <c r="H142" s="25"/>
      <c r="I142" s="25"/>
    </row>
    <row r="143" spans="1:9" x14ac:dyDescent="0.2">
      <c r="A143" s="25"/>
      <c r="B143" s="25"/>
      <c r="C143" s="25"/>
      <c r="D143" s="25"/>
      <c r="E143" s="25"/>
      <c r="F143" s="25"/>
      <c r="G143" s="25"/>
      <c r="H143" s="25"/>
      <c r="I143" s="25"/>
    </row>
    <row r="144" spans="1:9" x14ac:dyDescent="0.2">
      <c r="A144" s="25"/>
      <c r="B144" s="25"/>
      <c r="C144" s="25"/>
      <c r="D144" s="25"/>
      <c r="E144" s="25"/>
      <c r="F144" s="25"/>
      <c r="G144" s="25"/>
      <c r="H144" s="25"/>
      <c r="I144" s="25"/>
    </row>
    <row r="145" spans="1:9" x14ac:dyDescent="0.2">
      <c r="A145" s="25"/>
      <c r="B145" s="25"/>
      <c r="C145" s="25"/>
      <c r="D145" s="25"/>
      <c r="E145" s="25"/>
      <c r="F145" s="25"/>
      <c r="G145" s="25"/>
      <c r="H145" s="25"/>
      <c r="I145" s="25"/>
    </row>
    <row r="146" spans="1:9" x14ac:dyDescent="0.2">
      <c r="A146" s="25"/>
      <c r="B146" s="25"/>
      <c r="C146" s="25"/>
      <c r="D146" s="25"/>
      <c r="E146" s="25"/>
      <c r="F146" s="25"/>
      <c r="G146" s="25"/>
      <c r="H146" s="25"/>
      <c r="I146" s="25"/>
    </row>
    <row r="147" spans="1:9" x14ac:dyDescent="0.2">
      <c r="A147" s="25"/>
      <c r="B147" s="25"/>
      <c r="C147" s="25"/>
      <c r="D147" s="25"/>
      <c r="E147" s="25"/>
      <c r="F147" s="25"/>
      <c r="G147" s="25"/>
      <c r="H147" s="25"/>
      <c r="I147" s="25"/>
    </row>
    <row r="148" spans="1:9" x14ac:dyDescent="0.2">
      <c r="A148" s="25"/>
      <c r="B148" s="25"/>
      <c r="C148" s="25"/>
      <c r="D148" s="25"/>
      <c r="E148" s="25"/>
      <c r="F148" s="25"/>
      <c r="G148" s="25"/>
      <c r="H148" s="25"/>
      <c r="I148" s="25"/>
    </row>
    <row r="149" spans="1:9" x14ac:dyDescent="0.2">
      <c r="A149" s="25"/>
      <c r="B149" s="25"/>
      <c r="C149" s="25"/>
      <c r="D149" s="25"/>
      <c r="E149" s="25"/>
      <c r="F149" s="25"/>
      <c r="G149" s="25"/>
      <c r="H149" s="25"/>
      <c r="I149" s="25"/>
    </row>
    <row r="150" spans="1:9" x14ac:dyDescent="0.2">
      <c r="A150" s="25"/>
      <c r="B150" s="25"/>
      <c r="C150" s="25"/>
      <c r="D150" s="25"/>
      <c r="E150" s="25"/>
      <c r="F150" s="25"/>
      <c r="G150" s="25"/>
      <c r="H150" s="25"/>
      <c r="I150" s="25"/>
    </row>
    <row r="151" spans="1:9" x14ac:dyDescent="0.2">
      <c r="A151" s="25"/>
      <c r="B151" s="25"/>
      <c r="C151" s="25"/>
      <c r="D151" s="25"/>
      <c r="E151" s="25"/>
      <c r="F151" s="25"/>
      <c r="G151" s="25"/>
      <c r="H151" s="25"/>
      <c r="I151" s="25"/>
    </row>
    <row r="152" spans="1:9" x14ac:dyDescent="0.2">
      <c r="A152" s="25"/>
      <c r="B152" s="25"/>
      <c r="C152" s="25"/>
      <c r="D152" s="25"/>
      <c r="E152" s="25"/>
      <c r="F152" s="25"/>
      <c r="G152" s="25"/>
      <c r="H152" s="25"/>
      <c r="I152" s="25"/>
    </row>
    <row r="153" spans="1:9" x14ac:dyDescent="0.2">
      <c r="A153" s="25"/>
      <c r="B153" s="25"/>
      <c r="C153" s="25"/>
      <c r="D153" s="25"/>
      <c r="E153" s="25"/>
      <c r="F153" s="25"/>
      <c r="G153" s="25"/>
      <c r="H153" s="25"/>
      <c r="I153" s="25"/>
    </row>
    <row r="154" spans="1:9" x14ac:dyDescent="0.2">
      <c r="A154" s="25"/>
      <c r="B154" s="25"/>
      <c r="C154" s="25"/>
      <c r="D154" s="25"/>
      <c r="E154" s="25"/>
      <c r="F154" s="25"/>
      <c r="G154" s="25"/>
      <c r="H154" s="25"/>
      <c r="I154" s="25"/>
    </row>
    <row r="155" spans="1:9" x14ac:dyDescent="0.2">
      <c r="A155" s="25"/>
      <c r="B155" s="25"/>
      <c r="C155" s="25"/>
      <c r="D155" s="25"/>
      <c r="E155" s="25"/>
      <c r="F155" s="25"/>
      <c r="G155" s="25"/>
      <c r="H155" s="25"/>
      <c r="I155" s="25"/>
    </row>
    <row r="156" spans="1:9" x14ac:dyDescent="0.2">
      <c r="A156" s="25"/>
      <c r="B156" s="25"/>
      <c r="C156" s="25"/>
      <c r="D156" s="25"/>
      <c r="E156" s="25"/>
      <c r="F156" s="25"/>
      <c r="G156" s="25"/>
      <c r="H156" s="25"/>
      <c r="I156" s="25"/>
    </row>
    <row r="157" spans="1:9" x14ac:dyDescent="0.2">
      <c r="A157" s="25"/>
      <c r="B157" s="25"/>
      <c r="C157" s="25"/>
      <c r="D157" s="25"/>
      <c r="E157" s="25"/>
      <c r="F157" s="25"/>
      <c r="G157" s="25"/>
      <c r="H157" s="25"/>
      <c r="I157" s="25"/>
    </row>
    <row r="158" spans="1:9" x14ac:dyDescent="0.2">
      <c r="A158" s="25"/>
      <c r="B158" s="25"/>
      <c r="C158" s="25"/>
      <c r="D158" s="25"/>
      <c r="E158" s="25"/>
      <c r="F158" s="25"/>
      <c r="G158" s="25"/>
      <c r="H158" s="25"/>
      <c r="I158" s="25"/>
    </row>
    <row r="159" spans="1:9" x14ac:dyDescent="0.2">
      <c r="A159" s="25"/>
      <c r="B159" s="25"/>
      <c r="C159" s="25"/>
      <c r="D159" s="25"/>
      <c r="E159" s="25"/>
      <c r="F159" s="25"/>
      <c r="G159" s="25"/>
      <c r="H159" s="25"/>
      <c r="I159" s="25"/>
    </row>
    <row r="160" spans="1:9" x14ac:dyDescent="0.2">
      <c r="A160" s="25"/>
      <c r="B160" s="25"/>
      <c r="C160" s="25"/>
      <c r="D160" s="25"/>
      <c r="E160" s="25"/>
      <c r="F160" s="25"/>
      <c r="G160" s="25"/>
      <c r="H160" s="25"/>
      <c r="I160" s="25"/>
    </row>
    <row r="161" spans="1:9" x14ac:dyDescent="0.2">
      <c r="A161" s="25"/>
      <c r="B161" s="25"/>
      <c r="C161" s="25"/>
      <c r="D161" s="25"/>
      <c r="E161" s="25"/>
      <c r="F161" s="25"/>
      <c r="G161" s="25"/>
      <c r="H161" s="25"/>
      <c r="I161" s="25"/>
    </row>
    <row r="162" spans="1:9" x14ac:dyDescent="0.2">
      <c r="A162" s="25"/>
      <c r="B162" s="25"/>
      <c r="C162" s="25"/>
      <c r="D162" s="25"/>
      <c r="E162" s="25"/>
      <c r="F162" s="25"/>
      <c r="G162" s="25"/>
      <c r="H162" s="25"/>
      <c r="I162" s="25"/>
    </row>
    <row r="163" spans="1:9" x14ac:dyDescent="0.2">
      <c r="A163" s="25"/>
      <c r="B163" s="25"/>
      <c r="C163" s="25"/>
      <c r="D163" s="25"/>
      <c r="E163" s="25"/>
      <c r="F163" s="25"/>
      <c r="G163" s="25"/>
      <c r="H163" s="25"/>
      <c r="I163" s="25"/>
    </row>
    <row r="164" spans="1:9" x14ac:dyDescent="0.2">
      <c r="A164" s="25"/>
      <c r="B164" s="25"/>
      <c r="C164" s="25"/>
      <c r="D164" s="25"/>
      <c r="E164" s="25"/>
      <c r="F164" s="25"/>
      <c r="G164" s="25"/>
      <c r="H164" s="25"/>
      <c r="I164" s="25"/>
    </row>
    <row r="165" spans="1:9" x14ac:dyDescent="0.2">
      <c r="A165" s="25"/>
      <c r="B165" s="25"/>
      <c r="C165" s="25"/>
      <c r="D165" s="25"/>
      <c r="E165" s="25"/>
      <c r="F165" s="25"/>
      <c r="G165" s="25"/>
      <c r="H165" s="25"/>
      <c r="I165" s="25"/>
    </row>
    <row r="166" spans="1:9" x14ac:dyDescent="0.2">
      <c r="A166" s="25"/>
      <c r="B166" s="25"/>
      <c r="C166" s="25"/>
      <c r="D166" s="25"/>
      <c r="E166" s="25"/>
      <c r="F166" s="25"/>
      <c r="G166" s="25"/>
      <c r="H166" s="25"/>
      <c r="I166" s="25"/>
    </row>
    <row r="167" spans="1:9" x14ac:dyDescent="0.2">
      <c r="A167" s="25"/>
      <c r="B167" s="25"/>
      <c r="C167" s="25"/>
      <c r="D167" s="25"/>
      <c r="E167" s="25"/>
      <c r="F167" s="25"/>
      <c r="G167" s="25"/>
      <c r="H167" s="25"/>
      <c r="I167" s="25"/>
    </row>
    <row r="168" spans="1:9" x14ac:dyDescent="0.2">
      <c r="A168" s="25"/>
      <c r="B168" s="25"/>
      <c r="C168" s="25"/>
      <c r="D168" s="25"/>
      <c r="E168" s="25"/>
      <c r="F168" s="25"/>
      <c r="G168" s="25"/>
      <c r="H168" s="25"/>
      <c r="I168" s="25"/>
    </row>
    <row r="169" spans="1:9" x14ac:dyDescent="0.2">
      <c r="A169" s="25"/>
      <c r="B169" s="25"/>
      <c r="C169" s="25"/>
      <c r="D169" s="25"/>
      <c r="E169" s="25"/>
      <c r="F169" s="25"/>
      <c r="G169" s="25"/>
      <c r="H169" s="25"/>
      <c r="I169" s="25"/>
    </row>
    <row r="170" spans="1:9" x14ac:dyDescent="0.2">
      <c r="A170" s="25"/>
      <c r="B170" s="25"/>
      <c r="C170" s="25"/>
      <c r="D170" s="25"/>
      <c r="E170" s="25"/>
      <c r="F170" s="25"/>
      <c r="G170" s="25"/>
      <c r="H170" s="25"/>
      <c r="I170" s="25"/>
    </row>
    <row r="171" spans="1:9" x14ac:dyDescent="0.2">
      <c r="A171" s="25"/>
      <c r="B171" s="25"/>
      <c r="C171" s="25"/>
      <c r="D171" s="25"/>
      <c r="E171" s="25"/>
      <c r="F171" s="25"/>
      <c r="G171" s="25"/>
      <c r="H171" s="25"/>
      <c r="I171" s="25"/>
    </row>
    <row r="172" spans="1:9" x14ac:dyDescent="0.2">
      <c r="A172" s="25"/>
      <c r="B172" s="25"/>
      <c r="C172" s="25"/>
      <c r="D172" s="25"/>
      <c r="E172" s="25"/>
      <c r="F172" s="25"/>
      <c r="G172" s="25"/>
      <c r="H172" s="25"/>
      <c r="I172" s="25"/>
    </row>
    <row r="173" spans="1:9" x14ac:dyDescent="0.2">
      <c r="A173" s="25"/>
      <c r="B173" s="25"/>
      <c r="C173" s="25"/>
      <c r="D173" s="25"/>
      <c r="E173" s="25"/>
      <c r="F173" s="25"/>
      <c r="G173" s="25"/>
      <c r="H173" s="25"/>
      <c r="I173" s="25"/>
    </row>
    <row r="174" spans="1:9" x14ac:dyDescent="0.2">
      <c r="A174" s="25"/>
      <c r="B174" s="25"/>
      <c r="C174" s="25"/>
      <c r="D174" s="25"/>
      <c r="E174" s="25"/>
      <c r="F174" s="25"/>
      <c r="G174" s="25"/>
      <c r="H174" s="25"/>
      <c r="I174" s="25"/>
    </row>
    <row r="175" spans="1:9" x14ac:dyDescent="0.2">
      <c r="A175" s="25"/>
      <c r="B175" s="25"/>
      <c r="C175" s="25"/>
      <c r="D175" s="25"/>
      <c r="E175" s="25"/>
      <c r="F175" s="25"/>
      <c r="G175" s="25"/>
      <c r="H175" s="25"/>
      <c r="I175" s="25"/>
    </row>
    <row r="176" spans="1:9" x14ac:dyDescent="0.2">
      <c r="A176" s="25"/>
      <c r="B176" s="25"/>
      <c r="C176" s="25"/>
      <c r="D176" s="25"/>
      <c r="E176" s="25"/>
      <c r="F176" s="25"/>
      <c r="G176" s="25"/>
      <c r="H176" s="25"/>
      <c r="I176" s="25"/>
    </row>
    <row r="177" spans="1:9" x14ac:dyDescent="0.2">
      <c r="A177" s="25"/>
      <c r="B177" s="25"/>
      <c r="C177" s="25"/>
      <c r="D177" s="25"/>
      <c r="E177" s="25"/>
      <c r="F177" s="25"/>
      <c r="G177" s="25"/>
      <c r="H177" s="25"/>
      <c r="I177" s="25"/>
    </row>
    <row r="178" spans="1:9" x14ac:dyDescent="0.2">
      <c r="A178" s="25"/>
      <c r="B178" s="25"/>
      <c r="C178" s="25"/>
      <c r="D178" s="25"/>
      <c r="E178" s="25"/>
      <c r="F178" s="25"/>
      <c r="G178" s="25"/>
      <c r="H178" s="25"/>
      <c r="I178" s="25"/>
    </row>
    <row r="179" spans="1:9" x14ac:dyDescent="0.2">
      <c r="A179" s="25"/>
      <c r="B179" s="25"/>
      <c r="C179" s="25"/>
      <c r="D179" s="25"/>
      <c r="E179" s="25"/>
      <c r="F179" s="25"/>
      <c r="G179" s="25"/>
      <c r="H179" s="25"/>
      <c r="I179" s="25"/>
    </row>
    <row r="180" spans="1:9" x14ac:dyDescent="0.2">
      <c r="A180" s="25"/>
      <c r="B180" s="25"/>
      <c r="C180" s="25"/>
      <c r="D180" s="25"/>
      <c r="E180" s="25"/>
      <c r="F180" s="25"/>
      <c r="G180" s="25"/>
      <c r="H180" s="25"/>
      <c r="I180" s="25"/>
    </row>
    <row r="181" spans="1:9" x14ac:dyDescent="0.2">
      <c r="A181" s="25"/>
      <c r="B181" s="25"/>
      <c r="C181" s="25"/>
      <c r="D181" s="25"/>
      <c r="E181" s="25"/>
      <c r="F181" s="25"/>
      <c r="G181" s="25"/>
      <c r="H181" s="25"/>
      <c r="I181" s="25"/>
    </row>
    <row r="182" spans="1:9" x14ac:dyDescent="0.2">
      <c r="A182" s="25"/>
      <c r="B182" s="25"/>
      <c r="C182" s="25"/>
      <c r="D182" s="25"/>
      <c r="E182" s="25"/>
      <c r="F182" s="25"/>
      <c r="G182" s="25"/>
      <c r="H182" s="25"/>
      <c r="I182" s="25"/>
    </row>
    <row r="183" spans="1:9" x14ac:dyDescent="0.2">
      <c r="A183" s="25"/>
      <c r="B183" s="25"/>
      <c r="C183" s="25"/>
      <c r="D183" s="25"/>
      <c r="E183" s="25"/>
      <c r="F183" s="25"/>
      <c r="G183" s="25"/>
      <c r="H183" s="25"/>
      <c r="I183" s="25"/>
    </row>
    <row r="184" spans="1:9" x14ac:dyDescent="0.2">
      <c r="A184" s="25"/>
      <c r="B184" s="25"/>
      <c r="C184" s="25"/>
      <c r="D184" s="25"/>
      <c r="E184" s="25"/>
      <c r="F184" s="25"/>
      <c r="G184" s="25"/>
      <c r="H184" s="25"/>
      <c r="I184" s="25"/>
    </row>
    <row r="185" spans="1:9" x14ac:dyDescent="0.2">
      <c r="A185" s="25"/>
      <c r="B185" s="25"/>
      <c r="C185" s="25"/>
      <c r="D185" s="25"/>
      <c r="E185" s="25"/>
      <c r="F185" s="25"/>
      <c r="G185" s="25"/>
      <c r="H185" s="25"/>
      <c r="I185" s="25"/>
    </row>
    <row r="186" spans="1:9" x14ac:dyDescent="0.2">
      <c r="A186" s="25"/>
      <c r="B186" s="25"/>
      <c r="C186" s="25"/>
      <c r="D186" s="25"/>
      <c r="E186" s="25"/>
      <c r="F186" s="25"/>
      <c r="G186" s="25"/>
      <c r="H186" s="25"/>
      <c r="I186" s="25"/>
    </row>
    <row r="187" spans="1:9" x14ac:dyDescent="0.2">
      <c r="A187" s="25"/>
      <c r="B187" s="25"/>
      <c r="C187" s="25"/>
      <c r="D187" s="25"/>
      <c r="E187" s="25"/>
      <c r="F187" s="25"/>
      <c r="G187" s="25"/>
      <c r="H187" s="25"/>
      <c r="I187" s="25"/>
    </row>
    <row r="188" spans="1:9" x14ac:dyDescent="0.2">
      <c r="A188" s="25"/>
      <c r="B188" s="25"/>
      <c r="C188" s="25"/>
      <c r="D188" s="25"/>
      <c r="E188" s="25"/>
      <c r="F188" s="25"/>
      <c r="G188" s="25"/>
      <c r="H188" s="25"/>
      <c r="I188" s="25"/>
    </row>
    <row r="189" spans="1:9" x14ac:dyDescent="0.2">
      <c r="A189" s="25"/>
      <c r="B189" s="25"/>
      <c r="C189" s="25"/>
      <c r="D189" s="25"/>
      <c r="E189" s="25"/>
      <c r="F189" s="25"/>
      <c r="G189" s="25"/>
      <c r="H189" s="25"/>
      <c r="I189" s="25"/>
    </row>
    <row r="190" spans="1:9" x14ac:dyDescent="0.2">
      <c r="A190" s="25"/>
      <c r="B190" s="25"/>
      <c r="C190" s="25"/>
      <c r="D190" s="25"/>
      <c r="E190" s="25"/>
      <c r="F190" s="25"/>
      <c r="G190" s="25"/>
      <c r="H190" s="25"/>
      <c r="I190" s="25"/>
    </row>
    <row r="191" spans="1:9" x14ac:dyDescent="0.2">
      <c r="A191" s="25"/>
      <c r="B191" s="25"/>
      <c r="C191" s="25"/>
      <c r="D191" s="25"/>
      <c r="E191" s="25"/>
      <c r="F191" s="25"/>
      <c r="G191" s="25"/>
      <c r="H191" s="25"/>
      <c r="I191" s="25"/>
    </row>
    <row r="192" spans="1:9" x14ac:dyDescent="0.2">
      <c r="A192" s="25"/>
      <c r="B192" s="25"/>
      <c r="C192" s="25"/>
      <c r="D192" s="25"/>
      <c r="E192" s="25"/>
      <c r="F192" s="25"/>
      <c r="G192" s="25"/>
      <c r="H192" s="25"/>
      <c r="I192" s="25"/>
    </row>
    <row r="193" spans="1:9" x14ac:dyDescent="0.2">
      <c r="A193" s="25"/>
      <c r="B193" s="25"/>
      <c r="C193" s="25"/>
      <c r="D193" s="25"/>
      <c r="E193" s="25"/>
      <c r="F193" s="25"/>
      <c r="G193" s="25"/>
      <c r="H193" s="25"/>
      <c r="I193" s="25"/>
    </row>
    <row r="194" spans="1:9" x14ac:dyDescent="0.2">
      <c r="A194" s="25"/>
      <c r="B194" s="25"/>
      <c r="C194" s="25"/>
      <c r="D194" s="25"/>
      <c r="E194" s="25"/>
      <c r="F194" s="25"/>
      <c r="G194" s="25"/>
      <c r="H194" s="25"/>
      <c r="I194" s="25"/>
    </row>
    <row r="195" spans="1:9" x14ac:dyDescent="0.2">
      <c r="A195" s="25"/>
      <c r="B195" s="25"/>
      <c r="C195" s="25"/>
      <c r="D195" s="25"/>
      <c r="E195" s="25"/>
      <c r="F195" s="25"/>
      <c r="G195" s="25"/>
      <c r="H195" s="25"/>
      <c r="I195" s="25"/>
    </row>
    <row r="196" spans="1:9" x14ac:dyDescent="0.2">
      <c r="A196" s="25"/>
      <c r="B196" s="25"/>
      <c r="C196" s="25"/>
      <c r="D196" s="25"/>
      <c r="E196" s="25"/>
      <c r="F196" s="25"/>
      <c r="G196" s="25"/>
      <c r="H196" s="25"/>
      <c r="I196" s="25"/>
    </row>
    <row r="197" spans="1:9" x14ac:dyDescent="0.2">
      <c r="A197" s="25"/>
      <c r="B197" s="25"/>
      <c r="C197" s="25"/>
      <c r="D197" s="25"/>
      <c r="E197" s="25"/>
      <c r="F197" s="25"/>
      <c r="G197" s="25"/>
      <c r="H197" s="25"/>
      <c r="I197" s="25"/>
    </row>
    <row r="198" spans="1:9" x14ac:dyDescent="0.2">
      <c r="A198" s="25"/>
      <c r="B198" s="25"/>
      <c r="C198" s="25"/>
      <c r="D198" s="25"/>
      <c r="E198" s="25"/>
      <c r="F198" s="25"/>
      <c r="G198" s="25"/>
      <c r="H198" s="25"/>
      <c r="I198" s="25"/>
    </row>
    <row r="199" spans="1:9" x14ac:dyDescent="0.2">
      <c r="A199" s="25"/>
      <c r="B199" s="25"/>
      <c r="C199" s="25"/>
      <c r="D199" s="25"/>
      <c r="E199" s="25"/>
      <c r="F199" s="25"/>
      <c r="G199" s="25"/>
      <c r="H199" s="25"/>
      <c r="I199" s="25"/>
    </row>
    <row r="200" spans="1:9" x14ac:dyDescent="0.2">
      <c r="A200" s="25"/>
      <c r="B200" s="25"/>
      <c r="C200" s="25"/>
      <c r="D200" s="25"/>
      <c r="E200" s="25"/>
      <c r="F200" s="25"/>
      <c r="G200" s="25"/>
      <c r="H200" s="25"/>
      <c r="I200" s="25"/>
    </row>
    <row r="201" spans="1:9" x14ac:dyDescent="0.2">
      <c r="A201" s="25"/>
      <c r="B201" s="25"/>
      <c r="C201" s="25"/>
      <c r="D201" s="25"/>
      <c r="E201" s="25"/>
      <c r="F201" s="25"/>
      <c r="G201" s="25"/>
      <c r="H201" s="25"/>
      <c r="I201" s="25"/>
    </row>
    <row r="202" spans="1:9" x14ac:dyDescent="0.2">
      <c r="A202" s="25"/>
      <c r="B202" s="25"/>
      <c r="C202" s="25"/>
      <c r="D202" s="25"/>
      <c r="E202" s="25"/>
      <c r="F202" s="25"/>
      <c r="G202" s="25"/>
      <c r="H202" s="25"/>
      <c r="I202" s="25"/>
    </row>
    <row r="203" spans="1:9" x14ac:dyDescent="0.2">
      <c r="A203" s="25"/>
      <c r="B203" s="25"/>
      <c r="C203" s="25"/>
      <c r="D203" s="25"/>
      <c r="E203" s="25"/>
      <c r="F203" s="25"/>
      <c r="G203" s="25"/>
      <c r="H203" s="25"/>
      <c r="I203" s="25"/>
    </row>
    <row r="204" spans="1:9" x14ac:dyDescent="0.2">
      <c r="A204" s="25"/>
      <c r="B204" s="25"/>
      <c r="C204" s="25"/>
      <c r="D204" s="25"/>
      <c r="E204" s="25"/>
      <c r="F204" s="25"/>
      <c r="G204" s="25"/>
      <c r="H204" s="25"/>
      <c r="I204" s="25"/>
    </row>
    <row r="205" spans="1:9" x14ac:dyDescent="0.2">
      <c r="A205" s="25"/>
      <c r="B205" s="25"/>
      <c r="C205" s="25"/>
      <c r="D205" s="25"/>
      <c r="E205" s="25"/>
      <c r="F205" s="25"/>
      <c r="G205" s="25"/>
      <c r="H205" s="25"/>
      <c r="I205" s="25"/>
    </row>
    <row r="206" spans="1:9" x14ac:dyDescent="0.2">
      <c r="A206" s="25"/>
      <c r="B206" s="25"/>
      <c r="C206" s="25"/>
      <c r="D206" s="25"/>
      <c r="E206" s="25"/>
      <c r="F206" s="25"/>
      <c r="G206" s="25"/>
      <c r="H206" s="25"/>
      <c r="I206" s="25"/>
    </row>
    <row r="207" spans="1:9" x14ac:dyDescent="0.2">
      <c r="A207" s="25"/>
      <c r="B207" s="25"/>
      <c r="C207" s="25"/>
      <c r="D207" s="25"/>
      <c r="E207" s="25"/>
      <c r="F207" s="25"/>
      <c r="G207" s="25"/>
      <c r="H207" s="25"/>
      <c r="I207" s="25"/>
    </row>
    <row r="208" spans="1:9" x14ac:dyDescent="0.2">
      <c r="A208" s="25"/>
      <c r="B208" s="25"/>
      <c r="C208" s="25"/>
      <c r="D208" s="25"/>
      <c r="E208" s="25"/>
      <c r="F208" s="25"/>
      <c r="G208" s="25"/>
      <c r="H208" s="25"/>
      <c r="I208" s="25"/>
    </row>
    <row r="209" spans="1:9" x14ac:dyDescent="0.2">
      <c r="A209" s="25"/>
      <c r="B209" s="25"/>
      <c r="C209" s="25"/>
      <c r="D209" s="25"/>
      <c r="E209" s="25"/>
      <c r="F209" s="25"/>
      <c r="G209" s="25"/>
      <c r="H209" s="25"/>
      <c r="I209" s="25"/>
    </row>
    <row r="210" spans="1:9" x14ac:dyDescent="0.2">
      <c r="A210" s="25"/>
      <c r="B210" s="25"/>
      <c r="C210" s="25"/>
      <c r="D210" s="25"/>
      <c r="E210" s="25"/>
      <c r="F210" s="25"/>
      <c r="G210" s="25"/>
      <c r="H210" s="25"/>
      <c r="I210" s="25"/>
    </row>
    <row r="211" spans="1:9" x14ac:dyDescent="0.2">
      <c r="A211" s="25"/>
      <c r="B211" s="25"/>
      <c r="C211" s="25"/>
      <c r="D211" s="25"/>
      <c r="E211" s="25"/>
      <c r="F211" s="25"/>
      <c r="G211" s="25"/>
      <c r="H211" s="25"/>
      <c r="I211" s="25"/>
    </row>
    <row r="212" spans="1:9" x14ac:dyDescent="0.2">
      <c r="A212" s="25"/>
      <c r="B212" s="25"/>
      <c r="C212" s="25"/>
      <c r="D212" s="25"/>
      <c r="E212" s="25"/>
      <c r="F212" s="25"/>
      <c r="G212" s="25"/>
      <c r="H212" s="25"/>
      <c r="I212" s="25"/>
    </row>
    <row r="213" spans="1:9" x14ac:dyDescent="0.2">
      <c r="A213" s="25"/>
      <c r="B213" s="25"/>
      <c r="C213" s="25"/>
      <c r="D213" s="25"/>
      <c r="E213" s="25"/>
      <c r="F213" s="25"/>
      <c r="G213" s="25"/>
      <c r="H213" s="25"/>
      <c r="I213" s="25"/>
    </row>
    <row r="214" spans="1:9" x14ac:dyDescent="0.2">
      <c r="A214" s="25"/>
      <c r="B214" s="25"/>
      <c r="C214" s="25"/>
      <c r="D214" s="25"/>
      <c r="E214" s="25"/>
      <c r="F214" s="25"/>
      <c r="G214" s="25"/>
      <c r="H214" s="25"/>
      <c r="I214" s="25"/>
    </row>
    <row r="215" spans="1:9" x14ac:dyDescent="0.2">
      <c r="A215" s="25"/>
      <c r="B215" s="25"/>
      <c r="C215" s="25"/>
      <c r="D215" s="25"/>
      <c r="E215" s="25"/>
      <c r="F215" s="25"/>
      <c r="G215" s="25"/>
      <c r="H215" s="25"/>
      <c r="I215" s="25"/>
    </row>
    <row r="216" spans="1:9" x14ac:dyDescent="0.2">
      <c r="A216" s="25"/>
      <c r="B216" s="25"/>
      <c r="C216" s="25"/>
      <c r="D216" s="25"/>
      <c r="E216" s="25"/>
      <c r="F216" s="25"/>
      <c r="G216" s="25"/>
      <c r="H216" s="25"/>
      <c r="I216" s="25"/>
    </row>
  </sheetData>
  <dataConsolidate/>
  <mergeCells count="1">
    <mergeCell ref="A1:I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57" r:id="rId4" name="lblFinance2FinancialAnalysis">
          <controlPr defaultSize="0" autoLine="0" r:id="rId5">
            <anchor moveWithCells="1">
              <from>
                <xdr:col>6</xdr:col>
                <xdr:colOff>676275</xdr:colOff>
                <xdr:row>4</xdr:row>
                <xdr:rowOff>114300</xdr:rowOff>
              </from>
              <to>
                <xdr:col>6</xdr:col>
                <xdr:colOff>1590675</xdr:colOff>
                <xdr:row>6</xdr:row>
                <xdr:rowOff>28575</xdr:rowOff>
              </to>
            </anchor>
          </controlPr>
        </control>
      </mc:Choice>
      <mc:Fallback>
        <control shapeId="2057" r:id="rId4" name="lblFinance2FinancialAnalysis"/>
      </mc:Fallback>
    </mc:AlternateContent>
    <mc:AlternateContent xmlns:mc="http://schemas.openxmlformats.org/markup-compatibility/2006">
      <mc:Choice Requires="x14">
        <control shapeId="2052" r:id="rId6" name="btnFinance2Home">
          <controlPr defaultSize="0" autoLine="0" r:id="rId7">
            <anchor moveWithCells="1">
              <from>
                <xdr:col>3</xdr:col>
                <xdr:colOff>666750</xdr:colOff>
                <xdr:row>4</xdr:row>
                <xdr:rowOff>142875</xdr:rowOff>
              </from>
              <to>
                <xdr:col>4</xdr:col>
                <xdr:colOff>409575</xdr:colOff>
                <xdr:row>6</xdr:row>
                <xdr:rowOff>57150</xdr:rowOff>
              </to>
            </anchor>
          </controlPr>
        </control>
      </mc:Choice>
      <mc:Fallback>
        <control shapeId="2052" r:id="rId6" name="btnFinance2Home"/>
      </mc:Fallback>
    </mc:AlternateContent>
    <mc:AlternateContent xmlns:mc="http://schemas.openxmlformats.org/markup-compatibility/2006">
      <mc:Choice Requires="x14">
        <control shapeId="2053" r:id="rId8" name="btnFinance2Members">
          <controlPr defaultSize="0" autoLine="0" r:id="rId9">
            <anchor moveWithCells="1">
              <from>
                <xdr:col>4</xdr:col>
                <xdr:colOff>542925</xdr:colOff>
                <xdr:row>4</xdr:row>
                <xdr:rowOff>133350</xdr:rowOff>
              </from>
              <to>
                <xdr:col>4</xdr:col>
                <xdr:colOff>1457325</xdr:colOff>
                <xdr:row>6</xdr:row>
                <xdr:rowOff>47625</xdr:rowOff>
              </to>
            </anchor>
          </controlPr>
        </control>
      </mc:Choice>
      <mc:Fallback>
        <control shapeId="2053" r:id="rId8" name="btnFinance2Members"/>
      </mc:Fallback>
    </mc:AlternateContent>
    <mc:AlternateContent xmlns:mc="http://schemas.openxmlformats.org/markup-compatibility/2006">
      <mc:Choice Requires="x14">
        <control shapeId="2054" r:id="rId10" name="btnFinance2Finance">
          <controlPr defaultSize="0" autoLine="0" r:id="rId11">
            <anchor moveWithCells="1">
              <from>
                <xdr:col>4</xdr:col>
                <xdr:colOff>1543050</xdr:colOff>
                <xdr:row>4</xdr:row>
                <xdr:rowOff>123825</xdr:rowOff>
              </from>
              <to>
                <xdr:col>4</xdr:col>
                <xdr:colOff>2457450</xdr:colOff>
                <xdr:row>6</xdr:row>
                <xdr:rowOff>38100</xdr:rowOff>
              </to>
            </anchor>
          </controlPr>
        </control>
      </mc:Choice>
      <mc:Fallback>
        <control shapeId="2054" r:id="rId10" name="btnFinance2Finance"/>
      </mc:Fallback>
    </mc:AlternateContent>
    <mc:AlternateContent xmlns:mc="http://schemas.openxmlformats.org/markup-compatibility/2006">
      <mc:Choice Requires="x14">
        <control shapeId="2056" r:id="rId12" name="btnNewOp">
          <controlPr defaultSize="0" autoLine="0" r:id="rId13">
            <anchor moveWithCells="1">
              <from>
                <xdr:col>4</xdr:col>
                <xdr:colOff>2676525</xdr:colOff>
                <xdr:row>4</xdr:row>
                <xdr:rowOff>123825</xdr:rowOff>
              </from>
              <to>
                <xdr:col>5</xdr:col>
                <xdr:colOff>390525</xdr:colOff>
                <xdr:row>6</xdr:row>
                <xdr:rowOff>38100</xdr:rowOff>
              </to>
            </anchor>
          </controlPr>
        </control>
      </mc:Choice>
      <mc:Fallback>
        <control shapeId="2056" r:id="rId12" name="btnNewOp"/>
      </mc:Fallback>
    </mc:AlternateContent>
    <mc:AlternateContent xmlns:mc="http://schemas.openxmlformats.org/markup-compatibility/2006">
      <mc:Choice Requires="x14">
        <control shapeId="2058" r:id="rId14" name="btnFindOp">
          <controlPr defaultSize="0" autoLine="0" r:id="rId15">
            <anchor moveWithCells="1">
              <from>
                <xdr:col>5</xdr:col>
                <xdr:colOff>590550</xdr:colOff>
                <xdr:row>4</xdr:row>
                <xdr:rowOff>114300</xdr:rowOff>
              </from>
              <to>
                <xdr:col>6</xdr:col>
                <xdr:colOff>523875</xdr:colOff>
                <xdr:row>6</xdr:row>
                <xdr:rowOff>28575</xdr:rowOff>
              </to>
            </anchor>
          </controlPr>
        </control>
      </mc:Choice>
      <mc:Fallback>
        <control shapeId="2058" r:id="rId14" name="btnFindOp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40"/>
  <sheetViews>
    <sheetView showGridLines="0" workbookViewId="0">
      <selection activeCell="A31" sqref="A31"/>
    </sheetView>
  </sheetViews>
  <sheetFormatPr defaultRowHeight="14.25" x14ac:dyDescent="0.2"/>
  <cols>
    <col min="1" max="1" width="21.625" style="3" bestFit="1" customWidth="1"/>
    <col min="2" max="2" width="25" style="3" bestFit="1" customWidth="1"/>
    <col min="3" max="3" width="7.125" style="3" bestFit="1" customWidth="1"/>
    <col min="4" max="4" width="15.125" style="3" bestFit="1" customWidth="1"/>
    <col min="5" max="5" width="7.125" style="3" bestFit="1" customWidth="1"/>
    <col min="6" max="6" width="10.625" style="3" bestFit="1" customWidth="1"/>
    <col min="7" max="7" width="11.375" style="3" bestFit="1" customWidth="1"/>
    <col min="8" max="8" width="15.125" style="3" bestFit="1" customWidth="1"/>
    <col min="9" max="9" width="7.125" style="3" bestFit="1" customWidth="1"/>
    <col min="10" max="10" width="44.25" style="3" bestFit="1" customWidth="1"/>
    <col min="11" max="11" width="8.125" style="3" bestFit="1" customWidth="1"/>
    <col min="12" max="12" width="15.25" style="3" bestFit="1" customWidth="1"/>
    <col min="13" max="13" width="8.125" style="3" bestFit="1" customWidth="1"/>
    <col min="14" max="14" width="10.625" style="3" bestFit="1" customWidth="1"/>
    <col min="15" max="15" width="11.375" style="3" bestFit="1" customWidth="1"/>
    <col min="16" max="16384" width="9" style="3"/>
  </cols>
  <sheetData>
    <row r="1" spans="1:15" x14ac:dyDescent="0.2">
      <c r="A1"/>
      <c r="B1"/>
    </row>
    <row r="2" spans="1:15" x14ac:dyDescent="0.2">
      <c r="A2"/>
      <c r="B2"/>
    </row>
    <row r="3" spans="1:15" x14ac:dyDescent="0.2">
      <c r="A3"/>
      <c r="B3"/>
      <c r="C3"/>
      <c r="D3"/>
      <c r="E3"/>
      <c r="F3"/>
      <c r="G3"/>
      <c r="H3"/>
      <c r="I3"/>
      <c r="J3"/>
      <c r="K3"/>
      <c r="L3"/>
      <c r="M3"/>
    </row>
    <row r="4" spans="1:15" x14ac:dyDescent="0.2">
      <c r="A4" s="4"/>
      <c r="B4" s="19" t="s">
        <v>111</v>
      </c>
      <c r="C4" s="4"/>
      <c r="D4" s="4"/>
      <c r="E4" s="4"/>
      <c r="F4" s="4"/>
      <c r="G4" s="4"/>
      <c r="H4"/>
      <c r="I4"/>
      <c r="J4"/>
      <c r="K4"/>
      <c r="L4"/>
      <c r="M4"/>
      <c r="N4"/>
      <c r="O4"/>
    </row>
    <row r="5" spans="1:15" x14ac:dyDescent="0.2">
      <c r="A5" s="4"/>
      <c r="B5" s="4" t="s">
        <v>83</v>
      </c>
      <c r="C5" s="4"/>
      <c r="D5" s="4" t="s">
        <v>85</v>
      </c>
      <c r="E5" s="4"/>
      <c r="F5" s="4" t="s">
        <v>78</v>
      </c>
      <c r="G5" s="4" t="s">
        <v>80</v>
      </c>
      <c r="H5"/>
      <c r="I5"/>
      <c r="J5"/>
      <c r="K5"/>
      <c r="L5"/>
      <c r="M5"/>
      <c r="N5"/>
      <c r="O5"/>
    </row>
    <row r="6" spans="1:15" ht="63.75" customHeight="1" x14ac:dyDescent="0.2">
      <c r="A6" s="19" t="s">
        <v>112</v>
      </c>
      <c r="B6" s="4" t="s">
        <v>79</v>
      </c>
      <c r="C6" s="4" t="s">
        <v>81</v>
      </c>
      <c r="D6" s="4" t="s">
        <v>79</v>
      </c>
      <c r="E6" s="4" t="s">
        <v>81</v>
      </c>
      <c r="F6" s="4"/>
      <c r="G6" s="4"/>
      <c r="H6"/>
      <c r="I6"/>
      <c r="J6"/>
      <c r="K6"/>
      <c r="L6"/>
      <c r="M6"/>
      <c r="N6"/>
      <c r="O6"/>
    </row>
    <row r="7" spans="1:15" x14ac:dyDescent="0.2">
      <c r="A7" s="36">
        <v>43361</v>
      </c>
      <c r="B7" s="20"/>
      <c r="C7" s="20">
        <v>5.96</v>
      </c>
      <c r="D7" s="20"/>
      <c r="E7" s="20"/>
      <c r="F7" s="20"/>
      <c r="G7" s="20">
        <v>5.96</v>
      </c>
      <c r="H7"/>
      <c r="I7"/>
      <c r="J7"/>
      <c r="K7"/>
      <c r="L7"/>
      <c r="M7"/>
      <c r="N7"/>
      <c r="O7"/>
    </row>
    <row r="8" spans="1:15" x14ac:dyDescent="0.2">
      <c r="A8" s="36">
        <v>43344</v>
      </c>
      <c r="B8" s="20"/>
      <c r="C8" s="20"/>
      <c r="D8" s="20"/>
      <c r="E8" s="20">
        <v>1.25</v>
      </c>
      <c r="F8" s="20"/>
      <c r="G8" s="20">
        <v>1.25</v>
      </c>
      <c r="H8"/>
      <c r="I8"/>
      <c r="J8"/>
      <c r="K8"/>
      <c r="L8"/>
      <c r="M8"/>
      <c r="N8"/>
      <c r="O8"/>
    </row>
    <row r="9" spans="1:15" x14ac:dyDescent="0.2">
      <c r="A9" s="4" t="s">
        <v>113</v>
      </c>
      <c r="B9" s="20"/>
      <c r="C9" s="20">
        <v>5.96</v>
      </c>
      <c r="D9" s="20"/>
      <c r="E9" s="20">
        <v>1.25</v>
      </c>
      <c r="F9" s="20"/>
      <c r="G9" s="20">
        <v>7.21</v>
      </c>
      <c r="H9"/>
      <c r="I9"/>
      <c r="J9"/>
      <c r="K9"/>
      <c r="L9"/>
      <c r="M9"/>
      <c r="N9"/>
      <c r="O9"/>
    </row>
    <row r="10" spans="1:15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</row>
    <row r="11" spans="1:15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1:15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15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1:15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1:15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x14ac:dyDescent="0.2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15" x14ac:dyDescent="0.2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15" x14ac:dyDescent="0.2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5" x14ac:dyDescent="0.2">
      <c r="A26"/>
      <c r="B26"/>
      <c r="C26"/>
      <c r="D26"/>
      <c r="E26"/>
      <c r="F26"/>
      <c r="G26"/>
    </row>
    <row r="27" spans="1:15" x14ac:dyDescent="0.2">
      <c r="A27"/>
      <c r="B27"/>
      <c r="C27"/>
      <c r="D27"/>
      <c r="E27"/>
      <c r="F27"/>
      <c r="G27"/>
    </row>
    <row r="28" spans="1:15" x14ac:dyDescent="0.2">
      <c r="A28"/>
      <c r="B28"/>
      <c r="C28"/>
      <c r="D28"/>
      <c r="E28"/>
      <c r="F28"/>
      <c r="G28"/>
    </row>
    <row r="29" spans="1:15" x14ac:dyDescent="0.2">
      <c r="A29"/>
      <c r="B29"/>
      <c r="C29"/>
      <c r="D29"/>
      <c r="E29"/>
      <c r="F29"/>
      <c r="G29"/>
    </row>
    <row r="30" spans="1:15" x14ac:dyDescent="0.2">
      <c r="A30"/>
      <c r="B30"/>
      <c r="C30"/>
      <c r="D30"/>
      <c r="E30"/>
      <c r="F30"/>
      <c r="G30"/>
    </row>
    <row r="31" spans="1:15" x14ac:dyDescent="0.2">
      <c r="B31"/>
      <c r="C31"/>
      <c r="D31"/>
      <c r="E31"/>
      <c r="F31"/>
      <c r="G31"/>
    </row>
    <row r="32" spans="1:15" x14ac:dyDescent="0.2">
      <c r="A32"/>
      <c r="B32"/>
      <c r="C32"/>
      <c r="D32"/>
      <c r="E32"/>
      <c r="F32"/>
      <c r="G32"/>
    </row>
    <row r="33" spans="1:7" x14ac:dyDescent="0.2">
      <c r="A33"/>
      <c r="B33"/>
      <c r="C33"/>
      <c r="D33"/>
      <c r="E33"/>
      <c r="F33"/>
      <c r="G33"/>
    </row>
    <row r="34" spans="1:7" x14ac:dyDescent="0.2">
      <c r="A34"/>
      <c r="B34"/>
      <c r="C34"/>
      <c r="D34"/>
      <c r="E34"/>
      <c r="F34"/>
      <c r="G34"/>
    </row>
    <row r="35" spans="1:7" x14ac:dyDescent="0.2">
      <c r="A35"/>
      <c r="B35"/>
      <c r="C35"/>
      <c r="D35"/>
      <c r="E35"/>
      <c r="F35"/>
      <c r="G35"/>
    </row>
    <row r="36" spans="1:7" x14ac:dyDescent="0.2">
      <c r="A36"/>
      <c r="B36"/>
      <c r="C36"/>
      <c r="D36"/>
      <c r="E36"/>
      <c r="F36"/>
      <c r="G36"/>
    </row>
    <row r="37" spans="1:7" x14ac:dyDescent="0.2">
      <c r="A37"/>
      <c r="B37"/>
      <c r="C37"/>
      <c r="D37"/>
      <c r="E37"/>
      <c r="F37"/>
      <c r="G37"/>
    </row>
    <row r="38" spans="1:7" x14ac:dyDescent="0.2">
      <c r="A38"/>
      <c r="B38"/>
      <c r="C38"/>
      <c r="D38"/>
      <c r="E38"/>
      <c r="F38"/>
      <c r="G38"/>
    </row>
    <row r="39" spans="1:7" x14ac:dyDescent="0.2">
      <c r="A39"/>
      <c r="B39"/>
      <c r="C39"/>
      <c r="D39"/>
      <c r="E39"/>
      <c r="F39"/>
      <c r="G39"/>
    </row>
    <row r="40" spans="1:7" x14ac:dyDescent="0.2">
      <c r="A40"/>
      <c r="B40"/>
      <c r="C40"/>
      <c r="D40"/>
      <c r="E40"/>
      <c r="F40"/>
      <c r="G40"/>
    </row>
  </sheetData>
  <pageMargins left="0.7" right="0.7" top="0.75" bottom="0.75" header="0.3" footer="0.3"/>
  <pageSetup paperSize="9" orientation="portrait" horizontalDpi="4294967293" verticalDpi="4294967293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43"/>
  <sheetViews>
    <sheetView workbookViewId="0">
      <selection activeCell="B7" sqref="B7"/>
    </sheetView>
  </sheetViews>
  <sheetFormatPr defaultRowHeight="14.25" x14ac:dyDescent="0.2"/>
  <cols>
    <col min="1" max="1" width="23.5" bestFit="1" customWidth="1"/>
    <col min="2" max="2" width="23.5" customWidth="1"/>
    <col min="3" max="3" width="41.875" bestFit="1" customWidth="1"/>
    <col min="4" max="4" width="42" bestFit="1" customWidth="1"/>
    <col min="8" max="8" width="9" customWidth="1"/>
  </cols>
  <sheetData>
    <row r="1" spans="1:12" x14ac:dyDescent="0.2">
      <c r="A1" s="7" t="s">
        <v>0</v>
      </c>
      <c r="B1" s="7" t="s">
        <v>97</v>
      </c>
      <c r="C1" s="7" t="s">
        <v>10</v>
      </c>
      <c r="D1" s="7" t="s">
        <v>11</v>
      </c>
      <c r="E1" s="4"/>
      <c r="F1" s="8"/>
      <c r="G1" s="8"/>
      <c r="H1" s="8"/>
      <c r="I1" s="8"/>
      <c r="J1" s="8"/>
      <c r="K1" s="8"/>
      <c r="L1" s="8"/>
    </row>
    <row r="2" spans="1:12" x14ac:dyDescent="0.2">
      <c r="A2" s="7" t="s">
        <v>91</v>
      </c>
      <c r="B2" s="11" t="s">
        <v>128</v>
      </c>
      <c r="C2" s="11" t="s">
        <v>37</v>
      </c>
      <c r="D2" s="11" t="s">
        <v>37</v>
      </c>
      <c r="E2" s="4"/>
      <c r="F2" s="8"/>
      <c r="G2" s="8"/>
      <c r="H2" s="8"/>
      <c r="I2" s="8"/>
      <c r="J2" s="8"/>
      <c r="K2" s="8"/>
      <c r="L2" s="8"/>
    </row>
    <row r="3" spans="1:12" x14ac:dyDescent="0.2">
      <c r="A3" s="7" t="s">
        <v>72</v>
      </c>
      <c r="B3" s="7" t="s">
        <v>129</v>
      </c>
      <c r="C3" s="7" t="s">
        <v>12</v>
      </c>
      <c r="D3" s="7" t="s">
        <v>33</v>
      </c>
      <c r="E3" s="4"/>
      <c r="F3" s="8"/>
      <c r="G3" s="8"/>
      <c r="H3" s="8"/>
      <c r="I3" s="8"/>
      <c r="J3" s="8"/>
      <c r="K3" s="8"/>
      <c r="L3" s="8"/>
    </row>
    <row r="4" spans="1:12" x14ac:dyDescent="0.2">
      <c r="A4" s="7" t="s">
        <v>73</v>
      </c>
      <c r="B4" s="7" t="s">
        <v>130</v>
      </c>
      <c r="C4" s="7" t="s">
        <v>5</v>
      </c>
      <c r="D4" s="7" t="s">
        <v>34</v>
      </c>
      <c r="E4" s="4"/>
      <c r="F4" s="8"/>
      <c r="G4" s="8"/>
      <c r="H4" s="8"/>
      <c r="I4" s="8"/>
      <c r="J4" s="8"/>
      <c r="K4" s="8"/>
      <c r="L4" s="8"/>
    </row>
    <row r="5" spans="1:12" x14ac:dyDescent="0.2">
      <c r="A5" s="7" t="s">
        <v>74</v>
      </c>
      <c r="B5" s="11" t="s">
        <v>131</v>
      </c>
      <c r="C5" s="11" t="s">
        <v>4</v>
      </c>
      <c r="D5" s="7" t="s">
        <v>35</v>
      </c>
      <c r="E5" s="4"/>
      <c r="F5" s="8"/>
      <c r="G5" s="8"/>
      <c r="H5" s="8"/>
      <c r="I5" s="8"/>
      <c r="J5" s="8"/>
      <c r="K5" s="8"/>
      <c r="L5" s="8"/>
    </row>
    <row r="6" spans="1:12" x14ac:dyDescent="0.2">
      <c r="A6" s="7" t="s">
        <v>92</v>
      </c>
      <c r="B6" s="7" t="s">
        <v>132</v>
      </c>
      <c r="C6" s="7" t="s">
        <v>13</v>
      </c>
      <c r="D6" s="11" t="s">
        <v>36</v>
      </c>
      <c r="E6" s="4"/>
      <c r="F6" s="8"/>
      <c r="G6" s="8"/>
      <c r="H6" s="8"/>
      <c r="I6" s="8"/>
      <c r="J6" s="8"/>
      <c r="K6" s="8"/>
      <c r="L6" s="8"/>
    </row>
    <row r="7" spans="1:12" x14ac:dyDescent="0.2">
      <c r="A7" s="7"/>
      <c r="B7" s="7"/>
      <c r="C7" s="7" t="s">
        <v>14</v>
      </c>
      <c r="D7" s="11" t="s">
        <v>38</v>
      </c>
      <c r="E7" s="4"/>
      <c r="F7" s="8"/>
      <c r="G7" s="8"/>
      <c r="H7" s="8"/>
      <c r="I7" s="8"/>
      <c r="J7" s="8"/>
      <c r="K7" s="8"/>
      <c r="L7" s="8"/>
    </row>
    <row r="8" spans="1:12" x14ac:dyDescent="0.2">
      <c r="A8" s="7"/>
      <c r="B8" s="7"/>
      <c r="C8" s="7" t="s">
        <v>15</v>
      </c>
      <c r="D8" s="7" t="s">
        <v>96</v>
      </c>
      <c r="E8" s="4"/>
      <c r="F8" s="8"/>
      <c r="G8" s="8"/>
      <c r="H8" s="8"/>
      <c r="I8" s="8"/>
      <c r="J8" s="8"/>
      <c r="K8" s="8"/>
      <c r="L8" s="8"/>
    </row>
    <row r="9" spans="1:12" x14ac:dyDescent="0.2">
      <c r="A9" s="7"/>
      <c r="B9" s="7"/>
      <c r="C9" s="7" t="s">
        <v>16</v>
      </c>
      <c r="D9" s="7"/>
      <c r="E9" s="4"/>
      <c r="F9" s="8"/>
      <c r="G9" s="8"/>
      <c r="H9" s="8"/>
      <c r="I9" s="8"/>
      <c r="J9" s="8"/>
      <c r="K9" s="8"/>
      <c r="L9" s="8"/>
    </row>
    <row r="10" spans="1:12" x14ac:dyDescent="0.2">
      <c r="A10" s="7"/>
      <c r="B10" s="7"/>
      <c r="C10" s="7" t="s">
        <v>17</v>
      </c>
      <c r="D10" s="7"/>
      <c r="E10" s="4"/>
      <c r="F10" s="8"/>
      <c r="G10" s="8"/>
      <c r="H10" s="8"/>
      <c r="I10" s="8"/>
      <c r="J10" s="8"/>
      <c r="K10" s="8"/>
      <c r="L10" s="8"/>
    </row>
    <row r="11" spans="1:12" x14ac:dyDescent="0.2">
      <c r="A11" s="7"/>
      <c r="B11" s="7"/>
      <c r="C11" s="7" t="s">
        <v>1</v>
      </c>
      <c r="D11" s="7"/>
      <c r="E11" s="4"/>
      <c r="F11" s="8"/>
      <c r="G11" s="8"/>
      <c r="H11" s="8"/>
      <c r="I11" s="8"/>
      <c r="J11" s="8"/>
      <c r="K11" s="8"/>
      <c r="L11" s="8"/>
    </row>
    <row r="12" spans="1:12" x14ac:dyDescent="0.2">
      <c r="A12" s="7"/>
      <c r="B12" s="7"/>
      <c r="C12" s="7" t="s">
        <v>18</v>
      </c>
      <c r="D12" s="7"/>
      <c r="E12" s="4"/>
      <c r="F12" s="8"/>
      <c r="G12" s="8"/>
      <c r="H12" s="8"/>
      <c r="I12" s="8"/>
      <c r="J12" s="8"/>
      <c r="K12" s="8"/>
      <c r="L12" s="8"/>
    </row>
    <row r="13" spans="1:12" x14ac:dyDescent="0.2">
      <c r="B13" s="7"/>
      <c r="C13" s="7" t="s">
        <v>19</v>
      </c>
      <c r="D13" s="7"/>
      <c r="E13" s="4"/>
      <c r="F13" s="8"/>
      <c r="G13" s="8"/>
      <c r="H13" s="8"/>
      <c r="I13" s="8"/>
      <c r="J13" s="8"/>
      <c r="K13" s="8"/>
      <c r="L13" s="8"/>
    </row>
    <row r="14" spans="1:12" x14ac:dyDescent="0.2">
      <c r="B14" s="7"/>
      <c r="C14" s="7" t="s">
        <v>3</v>
      </c>
      <c r="D14" s="7"/>
      <c r="E14" s="4"/>
      <c r="F14" s="8"/>
      <c r="G14" s="8"/>
      <c r="H14" s="8"/>
      <c r="I14" s="8"/>
      <c r="J14" s="8"/>
      <c r="K14" s="8"/>
      <c r="L14" s="8"/>
    </row>
    <row r="15" spans="1:12" x14ac:dyDescent="0.2">
      <c r="B15" s="7"/>
      <c r="C15" s="7" t="s">
        <v>20</v>
      </c>
      <c r="D15" s="7"/>
      <c r="E15" s="4"/>
      <c r="F15" s="8"/>
      <c r="G15" s="8"/>
      <c r="H15" s="8"/>
      <c r="I15" s="8"/>
      <c r="J15" s="8"/>
      <c r="K15" s="8"/>
      <c r="L15" s="8"/>
    </row>
    <row r="16" spans="1:12" x14ac:dyDescent="0.2">
      <c r="B16" s="7"/>
      <c r="C16" s="7" t="s">
        <v>2</v>
      </c>
      <c r="D16" s="7"/>
      <c r="E16" s="4"/>
      <c r="F16" s="8"/>
      <c r="G16" s="8"/>
      <c r="H16" s="8"/>
      <c r="I16" s="8"/>
      <c r="J16" s="8"/>
      <c r="K16" s="8"/>
      <c r="L16" s="8"/>
    </row>
    <row r="17" spans="1:12" x14ac:dyDescent="0.2">
      <c r="A17" s="7"/>
      <c r="B17" s="7"/>
      <c r="C17" s="7" t="s">
        <v>21</v>
      </c>
      <c r="D17" s="7"/>
      <c r="E17" s="4"/>
      <c r="F17" s="8"/>
      <c r="G17" s="8"/>
      <c r="H17" s="8"/>
      <c r="I17" s="8"/>
      <c r="J17" s="8"/>
      <c r="K17" s="8"/>
      <c r="L17" s="8"/>
    </row>
    <row r="18" spans="1:12" x14ac:dyDescent="0.2">
      <c r="A18" s="7"/>
      <c r="B18" s="7"/>
      <c r="C18" s="7" t="s">
        <v>22</v>
      </c>
      <c r="D18" s="7"/>
      <c r="E18" s="4"/>
      <c r="F18" s="8"/>
      <c r="G18" s="8"/>
      <c r="H18" s="8"/>
      <c r="I18" s="8"/>
      <c r="J18" s="8"/>
      <c r="K18" s="8"/>
      <c r="L18" s="8"/>
    </row>
    <row r="19" spans="1:12" x14ac:dyDescent="0.2">
      <c r="A19" s="7"/>
      <c r="B19" s="7"/>
      <c r="C19" s="7" t="s">
        <v>23</v>
      </c>
      <c r="D19" s="7"/>
      <c r="E19" s="4"/>
      <c r="F19" s="8"/>
      <c r="G19" s="8"/>
      <c r="H19" s="8"/>
      <c r="I19" s="8"/>
      <c r="J19" s="8"/>
      <c r="K19" s="8"/>
      <c r="L19" s="8"/>
    </row>
    <row r="20" spans="1:12" x14ac:dyDescent="0.2">
      <c r="A20" s="7"/>
      <c r="B20" s="7"/>
      <c r="C20" s="7" t="s">
        <v>24</v>
      </c>
      <c r="D20" s="7"/>
      <c r="E20" s="4"/>
      <c r="F20" s="8"/>
      <c r="G20" s="8"/>
      <c r="H20" s="8"/>
      <c r="I20" s="8"/>
      <c r="J20" s="8"/>
      <c r="K20" s="8"/>
      <c r="L20" s="8"/>
    </row>
    <row r="21" spans="1:12" x14ac:dyDescent="0.2">
      <c r="A21" s="7"/>
      <c r="B21" s="7"/>
      <c r="C21" s="7" t="s">
        <v>25</v>
      </c>
      <c r="D21" s="7"/>
      <c r="E21" s="4"/>
      <c r="F21" s="8"/>
      <c r="G21" s="8"/>
      <c r="H21" s="8"/>
      <c r="I21" s="8"/>
      <c r="J21" s="8"/>
      <c r="K21" s="8"/>
      <c r="L21" s="8"/>
    </row>
    <row r="22" spans="1:12" x14ac:dyDescent="0.2">
      <c r="A22" s="7"/>
      <c r="B22" s="7"/>
      <c r="C22" s="7" t="s">
        <v>26</v>
      </c>
      <c r="D22" s="7"/>
      <c r="E22" s="4"/>
      <c r="F22" s="8"/>
      <c r="G22" s="8"/>
      <c r="H22" s="8"/>
      <c r="I22" s="8"/>
      <c r="J22" s="8"/>
      <c r="K22" s="8"/>
      <c r="L22" s="8"/>
    </row>
    <row r="23" spans="1:12" x14ac:dyDescent="0.2">
      <c r="A23" s="7"/>
      <c r="B23" s="7"/>
      <c r="C23" s="7" t="s">
        <v>27</v>
      </c>
      <c r="D23" s="7"/>
      <c r="E23" s="4"/>
      <c r="F23" s="8"/>
      <c r="G23" s="8"/>
      <c r="H23" s="8"/>
      <c r="I23" s="8"/>
      <c r="J23" s="8"/>
      <c r="K23" s="8"/>
      <c r="L23" s="8"/>
    </row>
    <row r="24" spans="1:12" x14ac:dyDescent="0.2">
      <c r="A24" s="7"/>
      <c r="B24" s="7"/>
      <c r="C24" s="7" t="s">
        <v>6</v>
      </c>
      <c r="D24" s="7"/>
      <c r="E24" s="4"/>
      <c r="F24" s="8"/>
      <c r="G24" s="8"/>
      <c r="H24" s="8"/>
      <c r="I24" s="8"/>
      <c r="J24" s="8"/>
      <c r="K24" s="8"/>
      <c r="L24" s="8"/>
    </row>
    <row r="25" spans="1:12" x14ac:dyDescent="0.2">
      <c r="A25" s="7"/>
      <c r="B25" s="7"/>
      <c r="C25" s="7" t="s">
        <v>28</v>
      </c>
      <c r="D25" s="7"/>
      <c r="E25" s="4"/>
      <c r="F25" s="8"/>
      <c r="G25" s="8"/>
      <c r="H25" s="8"/>
      <c r="I25" s="8"/>
      <c r="J25" s="8"/>
      <c r="K25" s="8"/>
      <c r="L25" s="8"/>
    </row>
    <row r="26" spans="1:12" x14ac:dyDescent="0.2">
      <c r="A26" s="7"/>
      <c r="B26" s="7"/>
      <c r="C26" s="7" t="s">
        <v>29</v>
      </c>
      <c r="D26" s="7"/>
      <c r="E26" s="4"/>
      <c r="F26" s="8"/>
      <c r="G26" s="8"/>
      <c r="H26" s="8"/>
      <c r="I26" s="8"/>
      <c r="J26" s="8"/>
      <c r="K26" s="8"/>
      <c r="L26" s="8"/>
    </row>
    <row r="27" spans="1:12" x14ac:dyDescent="0.2">
      <c r="A27" s="7"/>
      <c r="B27" s="7"/>
      <c r="C27" s="7" t="s">
        <v>30</v>
      </c>
      <c r="D27" s="7"/>
      <c r="E27" s="4"/>
      <c r="F27" s="8"/>
      <c r="G27" s="8"/>
      <c r="H27" s="8"/>
      <c r="I27" s="8"/>
      <c r="J27" s="8"/>
      <c r="K27" s="8"/>
      <c r="L27" s="8"/>
    </row>
    <row r="28" spans="1:12" x14ac:dyDescent="0.2">
      <c r="A28" s="7"/>
      <c r="B28" s="7"/>
      <c r="C28" s="11" t="s">
        <v>31</v>
      </c>
      <c r="D28" s="7"/>
      <c r="E28" s="4"/>
      <c r="F28" s="8"/>
      <c r="G28" s="8"/>
      <c r="H28" s="8"/>
      <c r="I28" s="8"/>
      <c r="J28" s="8"/>
      <c r="K28" s="8"/>
      <c r="L28" s="8"/>
    </row>
    <row r="29" spans="1:12" x14ac:dyDescent="0.2">
      <c r="A29" s="7"/>
      <c r="B29" s="7"/>
      <c r="C29" s="11" t="s">
        <v>32</v>
      </c>
      <c r="D29" s="7"/>
      <c r="E29" s="4"/>
      <c r="F29" s="8"/>
      <c r="G29" s="8"/>
      <c r="H29" s="8"/>
      <c r="I29" s="8"/>
      <c r="J29" s="8"/>
      <c r="K29" s="8"/>
      <c r="L29" s="8"/>
    </row>
    <row r="30" spans="1:12" x14ac:dyDescent="0.2">
      <c r="A30" s="6"/>
      <c r="B30" s="6"/>
      <c r="C30" s="11" t="s">
        <v>38</v>
      </c>
      <c r="D30" s="7"/>
      <c r="E30" s="4"/>
      <c r="F30" s="8"/>
      <c r="G30" s="8"/>
      <c r="H30" s="8"/>
      <c r="I30" s="8"/>
      <c r="J30" s="8"/>
      <c r="K30" s="8"/>
      <c r="L30" s="8"/>
    </row>
    <row r="31" spans="1:12" x14ac:dyDescent="0.2">
      <c r="A31" s="6"/>
      <c r="B31" s="6"/>
      <c r="C31" s="7" t="s">
        <v>85</v>
      </c>
      <c r="D31" s="7"/>
      <c r="E31" s="4"/>
      <c r="F31" s="8"/>
      <c r="G31" s="8"/>
      <c r="H31" s="8"/>
      <c r="I31" s="8"/>
      <c r="J31" s="8"/>
      <c r="K31" s="8"/>
      <c r="L31" s="8"/>
    </row>
    <row r="32" spans="1:12" x14ac:dyDescent="0.2">
      <c r="A32" s="6"/>
      <c r="B32" s="6"/>
      <c r="C32" s="11" t="s">
        <v>95</v>
      </c>
      <c r="D32" s="7"/>
      <c r="E32" s="4"/>
      <c r="F32" s="8"/>
      <c r="G32" s="8"/>
      <c r="H32" s="8"/>
      <c r="I32" s="8"/>
      <c r="J32" s="8"/>
      <c r="K32" s="8"/>
      <c r="L32" s="8"/>
    </row>
    <row r="33" spans="1:12" x14ac:dyDescent="0.2">
      <c r="A33" s="6"/>
      <c r="B33" s="6"/>
      <c r="C33" s="1"/>
      <c r="D33" s="7"/>
      <c r="E33" s="4"/>
      <c r="F33" s="8"/>
      <c r="G33" s="8"/>
      <c r="H33" s="8"/>
      <c r="I33" s="8"/>
      <c r="J33" s="8"/>
      <c r="K33" s="8"/>
      <c r="L33" s="8"/>
    </row>
    <row r="34" spans="1:12" x14ac:dyDescent="0.2">
      <c r="A34" s="6"/>
      <c r="B34" s="6"/>
      <c r="C34" s="2"/>
      <c r="D34" s="7"/>
      <c r="E34" s="4"/>
      <c r="F34" s="8"/>
      <c r="G34" s="8"/>
      <c r="H34" s="8"/>
      <c r="I34" s="8"/>
      <c r="J34" s="8"/>
      <c r="K34" s="8"/>
      <c r="L34" s="8"/>
    </row>
    <row r="35" spans="1:12" x14ac:dyDescent="0.2">
      <c r="A35" s="6"/>
      <c r="B35" s="6"/>
      <c r="C35" s="5"/>
      <c r="D35" s="7"/>
      <c r="E35" s="4"/>
      <c r="F35" s="8"/>
      <c r="G35" s="8"/>
      <c r="H35" s="8"/>
      <c r="I35" s="8"/>
      <c r="J35" s="8"/>
      <c r="K35" s="8"/>
      <c r="L35" s="8"/>
    </row>
    <row r="36" spans="1:12" x14ac:dyDescent="0.2">
      <c r="A36" s="6"/>
      <c r="B36" s="6"/>
      <c r="C36" s="5"/>
      <c r="D36" s="7"/>
      <c r="E36" s="4"/>
      <c r="F36" s="8"/>
      <c r="G36" s="8"/>
      <c r="H36" s="8"/>
      <c r="I36" s="8"/>
      <c r="J36" s="8"/>
      <c r="K36" s="8"/>
      <c r="L36" s="8"/>
    </row>
    <row r="37" spans="1:12" x14ac:dyDescent="0.2">
      <c r="A37" s="6"/>
      <c r="B37" s="6"/>
      <c r="C37" s="5"/>
      <c r="D37" s="7"/>
      <c r="E37" s="4"/>
      <c r="F37" s="8"/>
      <c r="G37" s="8"/>
      <c r="H37" s="8"/>
      <c r="I37" s="8"/>
      <c r="J37" s="8"/>
      <c r="K37" s="8"/>
      <c r="L37" s="8"/>
    </row>
    <row r="38" spans="1:12" x14ac:dyDescent="0.2">
      <c r="A38" s="6"/>
      <c r="B38" s="6"/>
      <c r="C38" s="5"/>
      <c r="D38" s="7"/>
      <c r="E38" s="4"/>
      <c r="F38" s="8"/>
      <c r="G38" s="8"/>
      <c r="H38" s="8"/>
      <c r="I38" s="8"/>
      <c r="J38" s="8"/>
      <c r="K38" s="8"/>
      <c r="L38" s="8"/>
    </row>
    <row r="39" spans="1:12" x14ac:dyDescent="0.2">
      <c r="A39" s="6"/>
      <c r="B39" s="6"/>
      <c r="C39" s="5"/>
      <c r="D39" s="7"/>
      <c r="E39" s="4"/>
      <c r="F39" s="8"/>
      <c r="G39" s="8"/>
      <c r="H39" s="8"/>
      <c r="I39" s="8"/>
      <c r="J39" s="8"/>
      <c r="K39" s="8"/>
      <c r="L39" s="8"/>
    </row>
    <row r="40" spans="1:12" x14ac:dyDescent="0.2">
      <c r="A40" s="6"/>
      <c r="B40" s="6"/>
      <c r="C40" s="5"/>
      <c r="D40" s="7"/>
      <c r="E40" s="4"/>
      <c r="F40" s="8"/>
      <c r="G40" s="8"/>
      <c r="H40" s="8"/>
      <c r="I40" s="8"/>
      <c r="J40" s="8"/>
      <c r="K40" s="8"/>
      <c r="L40" s="8"/>
    </row>
    <row r="41" spans="1:12" x14ac:dyDescent="0.2">
      <c r="A41" s="7"/>
      <c r="B41" s="7"/>
      <c r="C41" s="7"/>
      <c r="D41" s="7"/>
      <c r="E41" s="4"/>
      <c r="F41" s="8"/>
      <c r="G41" s="8"/>
      <c r="H41" s="8"/>
      <c r="I41" s="8"/>
      <c r="J41" s="8"/>
      <c r="K41" s="8"/>
      <c r="L41" s="8"/>
    </row>
    <row r="42" spans="1:12" x14ac:dyDescent="0.2">
      <c r="A42" s="1"/>
      <c r="B42" s="1"/>
      <c r="C42" s="1"/>
      <c r="D42" s="1"/>
      <c r="F42" s="8"/>
      <c r="G42" s="8"/>
      <c r="H42" s="8"/>
      <c r="I42" s="8"/>
      <c r="J42" s="8"/>
      <c r="K42" s="8"/>
      <c r="L42" s="8"/>
    </row>
    <row r="43" spans="1:12" x14ac:dyDescent="0.2">
      <c r="F43" s="8"/>
      <c r="G43" s="8"/>
      <c r="H43" s="8"/>
      <c r="I43" s="8"/>
      <c r="J43" s="8"/>
      <c r="K43" s="8"/>
      <c r="L43" s="8"/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3C68A-D8B4-4C08-9A94-C659D20C5A65}">
  <sheetPr codeName="Blat1"/>
  <dimension ref="A2:C34"/>
  <sheetViews>
    <sheetView tabSelected="1" workbookViewId="0">
      <selection activeCell="A20" sqref="A20"/>
    </sheetView>
  </sheetViews>
  <sheetFormatPr defaultRowHeight="14.25" x14ac:dyDescent="0.2"/>
  <cols>
    <col min="1" max="1" width="28.625" customWidth="1"/>
    <col min="2" max="2" width="18.75" customWidth="1"/>
    <col min="3" max="3" width="81" customWidth="1"/>
  </cols>
  <sheetData>
    <row r="2" spans="1:3" x14ac:dyDescent="0.2">
      <c r="A2" s="49" t="s">
        <v>121</v>
      </c>
      <c r="C2" t="s">
        <v>118</v>
      </c>
    </row>
    <row r="4" spans="1:3" x14ac:dyDescent="0.2">
      <c r="C4" t="s">
        <v>119</v>
      </c>
    </row>
    <row r="6" spans="1:3" x14ac:dyDescent="0.2">
      <c r="C6" t="s">
        <v>120</v>
      </c>
    </row>
    <row r="8" spans="1:3" x14ac:dyDescent="0.2">
      <c r="A8" s="49" t="s">
        <v>122</v>
      </c>
      <c r="C8" t="s">
        <v>123</v>
      </c>
    </row>
    <row r="10" spans="1:3" x14ac:dyDescent="0.2">
      <c r="C10" t="s">
        <v>124</v>
      </c>
    </row>
    <row r="13" spans="1:3" x14ac:dyDescent="0.2">
      <c r="A13" s="49" t="s">
        <v>125</v>
      </c>
      <c r="C13" t="s">
        <v>126</v>
      </c>
    </row>
    <row r="15" spans="1:3" x14ac:dyDescent="0.2">
      <c r="C15" t="s">
        <v>124</v>
      </c>
    </row>
    <row r="17" spans="2:3" x14ac:dyDescent="0.2">
      <c r="C17" t="s">
        <v>127</v>
      </c>
    </row>
    <row r="19" spans="2:3" x14ac:dyDescent="0.2">
      <c r="B19" s="56" t="s">
        <v>133</v>
      </c>
    </row>
    <row r="33" spans="3:3" ht="15" x14ac:dyDescent="0.2">
      <c r="C33" t="s">
        <v>135</v>
      </c>
    </row>
    <row r="34" spans="3:3" x14ac:dyDescent="0.2">
      <c r="C34" t="s">
        <v>134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123825</xdr:rowOff>
              </from>
              <to>
                <xdr:col>1</xdr:col>
                <xdr:colOff>1171575</xdr:colOff>
                <xdr:row>2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1</xdr:col>
                <xdr:colOff>238125</xdr:colOff>
                <xdr:row>2</xdr:row>
                <xdr:rowOff>66675</xdr:rowOff>
              </from>
              <to>
                <xdr:col>1</xdr:col>
                <xdr:colOff>1143000</xdr:colOff>
                <xdr:row>3</xdr:row>
                <xdr:rowOff>152400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71" r:id="rId8" name="CommandButton3">
          <controlPr defaultSize="0" autoLine="0" r:id="rId9">
            <anchor moveWithCells="1">
              <from>
                <xdr:col>1</xdr:col>
                <xdr:colOff>238125</xdr:colOff>
                <xdr:row>4</xdr:row>
                <xdr:rowOff>57150</xdr:rowOff>
              </from>
              <to>
                <xdr:col>1</xdr:col>
                <xdr:colOff>1143000</xdr:colOff>
                <xdr:row>5</xdr:row>
                <xdr:rowOff>142875</xdr:rowOff>
              </to>
            </anchor>
          </controlPr>
        </control>
      </mc:Choice>
      <mc:Fallback>
        <control shapeId="7171" r:id="rId8" name="CommandButton3"/>
      </mc:Fallback>
    </mc:AlternateContent>
    <mc:AlternateContent xmlns:mc="http://schemas.openxmlformats.org/markup-compatibility/2006">
      <mc:Choice Requires="x14">
        <control shapeId="7172" r:id="rId10" name="CommandButton4">
          <controlPr defaultSize="0" autoLine="0" r:id="rId11">
            <anchor moveWithCells="1">
              <from>
                <xdr:col>1</xdr:col>
                <xdr:colOff>247650</xdr:colOff>
                <xdr:row>6</xdr:row>
                <xdr:rowOff>142875</xdr:rowOff>
              </from>
              <to>
                <xdr:col>1</xdr:col>
                <xdr:colOff>1162050</xdr:colOff>
                <xdr:row>8</xdr:row>
                <xdr:rowOff>47625</xdr:rowOff>
              </to>
            </anchor>
          </controlPr>
        </control>
      </mc:Choice>
      <mc:Fallback>
        <control shapeId="7172" r:id="rId10" name="CommandButton4"/>
      </mc:Fallback>
    </mc:AlternateContent>
    <mc:AlternateContent xmlns:mc="http://schemas.openxmlformats.org/markup-compatibility/2006">
      <mc:Choice Requires="x14">
        <control shapeId="7173" r:id="rId12" name="CommandButton5">
          <controlPr defaultSize="0" autoLine="0" r:id="rId13">
            <anchor moveWithCells="1">
              <from>
                <xdr:col>1</xdr:col>
                <xdr:colOff>257175</xdr:colOff>
                <xdr:row>8</xdr:row>
                <xdr:rowOff>123825</xdr:rowOff>
              </from>
              <to>
                <xdr:col>1</xdr:col>
                <xdr:colOff>1181100</xdr:colOff>
                <xdr:row>10</xdr:row>
                <xdr:rowOff>28575</xdr:rowOff>
              </to>
            </anchor>
          </controlPr>
        </control>
      </mc:Choice>
      <mc:Fallback>
        <control shapeId="7173" r:id="rId12" name="CommandButton5"/>
      </mc:Fallback>
    </mc:AlternateContent>
    <mc:AlternateContent xmlns:mc="http://schemas.openxmlformats.org/markup-compatibility/2006">
      <mc:Choice Requires="x14">
        <control shapeId="7174" r:id="rId14" name="CommandButton6">
          <controlPr defaultSize="0" autoLine="0" r:id="rId15">
            <anchor moveWithCells="1">
              <from>
                <xdr:col>1</xdr:col>
                <xdr:colOff>238125</xdr:colOff>
                <xdr:row>11</xdr:row>
                <xdr:rowOff>133350</xdr:rowOff>
              </from>
              <to>
                <xdr:col>1</xdr:col>
                <xdr:colOff>1152525</xdr:colOff>
                <xdr:row>13</xdr:row>
                <xdr:rowOff>47625</xdr:rowOff>
              </to>
            </anchor>
          </controlPr>
        </control>
      </mc:Choice>
      <mc:Fallback>
        <control shapeId="7174" r:id="rId14" name="CommandButton6"/>
      </mc:Fallback>
    </mc:AlternateContent>
    <mc:AlternateContent xmlns:mc="http://schemas.openxmlformats.org/markup-compatibility/2006">
      <mc:Choice Requires="x14">
        <control shapeId="7175" r:id="rId16" name="CommandButton7">
          <controlPr defaultSize="0" autoLine="0" r:id="rId17">
            <anchor moveWithCells="1">
              <from>
                <xdr:col>1</xdr:col>
                <xdr:colOff>247650</xdr:colOff>
                <xdr:row>15</xdr:row>
                <xdr:rowOff>152400</xdr:rowOff>
              </from>
              <to>
                <xdr:col>1</xdr:col>
                <xdr:colOff>1162050</xdr:colOff>
                <xdr:row>17</xdr:row>
                <xdr:rowOff>66675</xdr:rowOff>
              </to>
            </anchor>
          </controlPr>
        </control>
      </mc:Choice>
      <mc:Fallback>
        <control shapeId="7175" r:id="rId16" name="CommandButton7"/>
      </mc:Fallback>
    </mc:AlternateContent>
    <mc:AlternateContent xmlns:mc="http://schemas.openxmlformats.org/markup-compatibility/2006">
      <mc:Choice Requires="x14">
        <control shapeId="7176" r:id="rId18" name="CommandButton8">
          <controlPr defaultSize="0" autoLine="0" r:id="rId19">
            <anchor moveWithCells="1">
              <from>
                <xdr:col>1</xdr:col>
                <xdr:colOff>247650</xdr:colOff>
                <xdr:row>13</xdr:row>
                <xdr:rowOff>161925</xdr:rowOff>
              </from>
              <to>
                <xdr:col>1</xdr:col>
                <xdr:colOff>1162050</xdr:colOff>
                <xdr:row>15</xdr:row>
                <xdr:rowOff>76200</xdr:rowOff>
              </to>
            </anchor>
          </controlPr>
        </control>
      </mc:Choice>
      <mc:Fallback>
        <control shapeId="7176" r:id="rId18" name="CommandButton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Members</vt:lpstr>
      <vt:lpstr>Finance</vt:lpstr>
      <vt:lpstr>Financial Analysis</vt:lpstr>
      <vt:lpstr>PCG</vt:lpstr>
      <vt:lpstr>HELP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>Charles Majerus</cp:lastModifiedBy>
  <dcterms:created xsi:type="dcterms:W3CDTF">2016-12-27T12:38:03Z</dcterms:created>
  <dcterms:modified xsi:type="dcterms:W3CDTF">2018-10-29T19:32:40Z</dcterms:modified>
  <cp:version/>
</cp:coreProperties>
</file>